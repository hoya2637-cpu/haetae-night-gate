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웨이브시뮬레이션" sheetId="2" state="visible" r:id="rId4"/>
    <sheet name="업그레이드비용" sheetId="3" state="visible" r:id="rId5"/>
    <sheet name="수익모델" sheetId="4" state="visible" r:id="rId6"/>
    <sheet name="환생메타" sheetId="5" state="visible" r:id="rId7"/>
    <sheet name="90일커브" sheetId="6" state="visible" r:id="rId8"/>
    <sheet name="오프라인보상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<sst xmlns="http://schemas.openxmlformats.org/spreadsheetml/2006/main" count="220" uniqueCount="213">
  <si>
    <t xml:space="preserve">방치형 타워디펜스 — 경제 시뮬레이션</t>
  </si>
  <si>
    <t xml:space="preserve">노란색 셀만 수정하세요. 나머지 시트는 전부 자동 계산됩니다.</t>
  </si>
  <si>
    <t xml:space="preserve">전투 · 적</t>
  </si>
  <si>
    <t xml:space="preserve">기본 적 체력 (웨이브 1, 개체당)</t>
  </si>
  <si>
    <t xml:space="preserve">웨이브 1 적 한 마리의 체력. 기준값이라 값 자체는 무의미</t>
  </si>
  <si>
    <t xml:space="preserve">적 체력 증가율 (웨이브당)</t>
  </si>
  <si>
    <t xml:space="preserve">핵심 레버. 1.08~1.10 권장. 높일수록 벽이 빨리 옴</t>
  </si>
  <si>
    <t xml:space="preserve">웨이브당 적 수</t>
  </si>
  <si>
    <t xml:space="preserve">고정. 늘리면 전투가 길어지고 발열이 증가</t>
  </si>
  <si>
    <t xml:space="preserve">재화 · 코인</t>
  </si>
  <si>
    <t xml:space="preserve">기본 코인 보상 (개체당)</t>
  </si>
  <si>
    <t xml:space="preserve">웨이브 1에서 적 1마리 처치 시 코인</t>
  </si>
  <si>
    <t xml:space="preserve">코인 증가율 (웨이브당)</t>
  </si>
  <si>
    <t xml:space="preserve">반드시 체력 증가율보다 낮게. 이 격차가 '벽'을 만듦</t>
  </si>
  <si>
    <t xml:space="preserve">타워 · 업그레이드</t>
  </si>
  <si>
    <t xml:space="preserve">기본 DPS (업그레이드 0레벨)</t>
  </si>
  <si>
    <t xml:space="preserve">초당 피해량 시작값</t>
  </si>
  <si>
    <t xml:space="preserve">업그레이드 기본 비용 (1레벨)</t>
  </si>
  <si>
    <t xml:space="preserve">첫 업그레이드 가격</t>
  </si>
  <si>
    <t xml:space="preserve">업그레이드 비용 증가율</t>
  </si>
  <si>
    <t xml:space="preserve">레벨당 비용 배수. 1.10~1.15 권장</t>
  </si>
  <si>
    <t xml:space="preserve">업그레이드당 DPS 증가 (고정값)</t>
  </si>
  <si>
    <t xml:space="preserve">선형 증가. 비용은 지수, 파워는 선형 = 방치형의 기본 공식</t>
  </si>
  <si>
    <t xml:space="preserve">목표 · 판정 기준</t>
  </si>
  <si>
    <t xml:space="preserve">웨이브 소요시간 하한 (초)</t>
  </si>
  <si>
    <t xml:space="preserve">이보다 빠르면 성장 실감이 안 남</t>
  </si>
  <si>
    <t xml:space="preserve">웨이브 소요시간 상한 (초)</t>
  </si>
  <si>
    <t xml:space="preserve">이보다 느리면 지루함 — 이탈 구간</t>
  </si>
  <si>
    <t xml:space="preserve">환생(프레스티지) 목표 웨이브</t>
  </si>
  <si>
    <t xml:space="preserve">유저가 처음 벽에 부딪히길 원하는 지점</t>
  </si>
  <si>
    <t xml:space="preserve">튜닝 순서</t>
  </si>
  <si>
    <r>
      <rPr>
        <sz val="9"/>
        <color rgb="FF404040"/>
        <rFont val="Arial"/>
        <family val="0"/>
        <charset val="1"/>
      </rPr>
      <t xml:space="preserve">1. '</t>
    </r>
    <r>
      <rPr>
        <sz val="9"/>
        <color rgb="FF404040"/>
        <rFont val="Noto Sans CJK SC"/>
        <family val="2"/>
      </rPr>
      <t xml:space="preserve">웨이브시뮬레이션</t>
    </r>
    <r>
      <rPr>
        <sz val="9"/>
        <color rgb="FF404040"/>
        <rFont val="Arial"/>
        <family val="0"/>
        <charset val="1"/>
      </rPr>
      <t xml:space="preserve">' </t>
    </r>
    <r>
      <rPr>
        <sz val="9"/>
        <color rgb="FF404040"/>
        <rFont val="Noto Sans CJK SC"/>
        <family val="2"/>
      </rPr>
      <t xml:space="preserve">시트 </t>
    </r>
    <r>
      <rPr>
        <sz val="9"/>
        <color rgb="FF404040"/>
        <rFont val="Arial"/>
        <family val="0"/>
        <charset val="1"/>
      </rPr>
      <t xml:space="preserve">J</t>
    </r>
    <r>
      <rPr>
        <sz val="9"/>
        <color rgb="FF404040"/>
        <rFont val="Noto Sans CJK SC"/>
        <family val="2"/>
      </rPr>
      <t xml:space="preserve">열이 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적정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으로 채워지는 구간을 최대한 넓힌다</t>
    </r>
  </si>
  <si>
    <r>
      <rPr>
        <sz val="9"/>
        <color rgb="FF404040"/>
        <rFont val="Arial"/>
        <family val="0"/>
        <charset val="1"/>
      </rPr>
      <t xml:space="preserve">2. </t>
    </r>
    <r>
      <rPr>
        <sz val="9"/>
        <color rgb="FF404040"/>
        <rFont val="Noto Sans CJK SC"/>
        <family val="2"/>
      </rPr>
      <t xml:space="preserve">환생 목표 웨이브에서 웨이브 시간이 상한을 넘도록 </t>
    </r>
    <r>
      <rPr>
        <sz val="9"/>
        <color rgb="FF404040"/>
        <rFont val="Arial"/>
        <family val="0"/>
        <charset val="1"/>
      </rPr>
      <t xml:space="preserve">(= </t>
    </r>
    <r>
      <rPr>
        <sz val="9"/>
        <color rgb="FF404040"/>
        <rFont val="Noto Sans CJK SC"/>
        <family val="2"/>
      </rPr>
      <t xml:space="preserve">벽이 여기서 생기도록</t>
    </r>
    <r>
      <rPr>
        <sz val="9"/>
        <color rgb="FF404040"/>
        <rFont val="Arial"/>
        <family val="0"/>
        <charset val="1"/>
      </rPr>
      <t xml:space="preserve">) </t>
    </r>
    <r>
      <rPr>
        <sz val="9"/>
        <color rgb="FF404040"/>
        <rFont val="Noto Sans CJK SC"/>
        <family val="2"/>
      </rPr>
      <t xml:space="preserve">조정</t>
    </r>
  </si>
  <si>
    <r>
      <rPr>
        <sz val="9"/>
        <color rgb="FF404040"/>
        <rFont val="Arial"/>
        <family val="0"/>
        <charset val="1"/>
      </rPr>
      <t xml:space="preserve">3. </t>
    </r>
    <r>
      <rPr>
        <sz val="9"/>
        <color rgb="FF404040"/>
        <rFont val="Noto Sans CJK SC"/>
        <family val="2"/>
      </rPr>
      <t xml:space="preserve">그 웨이브까지의 누적 시간</t>
    </r>
    <r>
      <rPr>
        <sz val="9"/>
        <color rgb="FF404040"/>
        <rFont val="Arial"/>
        <family val="0"/>
        <charset val="1"/>
      </rPr>
      <t xml:space="preserve">(I</t>
    </r>
    <r>
      <rPr>
        <sz val="9"/>
        <color rgb="FF404040"/>
        <rFont val="Noto Sans CJK SC"/>
        <family val="2"/>
      </rPr>
      <t xml:space="preserve">열</t>
    </r>
    <r>
      <rPr>
        <sz val="9"/>
        <color rgb="FF404040"/>
        <rFont val="Arial"/>
        <family val="0"/>
        <charset val="1"/>
      </rPr>
      <t xml:space="preserve">)</t>
    </r>
    <r>
      <rPr>
        <sz val="9"/>
        <color rgb="FF404040"/>
        <rFont val="Noto Sans CJK SC"/>
        <family val="2"/>
      </rPr>
      <t xml:space="preserve">이 첫 판 목표 길이가 된다</t>
    </r>
  </si>
  <si>
    <r>
      <rPr>
        <sz val="9"/>
        <color rgb="FF404040"/>
        <rFont val="Arial"/>
        <family val="0"/>
        <charset val="1"/>
      </rPr>
      <t xml:space="preserve">4. </t>
    </r>
    <r>
      <rPr>
        <sz val="9"/>
        <color rgb="FF404040"/>
        <rFont val="Noto Sans CJK SC"/>
        <family val="2"/>
      </rPr>
      <t xml:space="preserve">조정은 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적 체력 증가율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과 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코인 증가율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의 격차로만 한다</t>
    </r>
    <r>
      <rPr>
        <sz val="9"/>
        <color rgb="FF404040"/>
        <rFont val="Arial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나머지는 건드리지 말 것</t>
    </r>
  </si>
  <si>
    <t xml:space="preserve">환생 메타 (2층)</t>
  </si>
  <si>
    <t xml:space="preserve">도달 웨이브 계수 (W0)</t>
  </si>
  <si>
    <t xml:space="preserve">회차 1의 도달 웨이브를 결정</t>
  </si>
  <si>
    <t xml:space="preserve">도달 웨이브 지수</t>
  </si>
  <si>
    <t xml:space="preserve">높일수록 회차마다 더 멀리 감 = 커브가 짧아짐</t>
  </si>
  <si>
    <t xml:space="preserve">티어 배수 (승천 1회당)</t>
  </si>
  <si>
    <r>
      <rPr>
        <sz val="9"/>
        <color rgb="FF606060"/>
        <rFont val="Arial"/>
        <family val="0"/>
        <charset val="1"/>
      </rPr>
      <t xml:space="preserve">2</t>
    </r>
    <r>
      <rPr>
        <sz val="9"/>
        <color rgb="FF606060"/>
        <rFont val="Noto Sans CJK SC"/>
        <family val="2"/>
      </rPr>
      <t xml:space="preserve">층 환생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선형 코어만으로는 장기 곡선을 못 버팀</t>
    </r>
  </si>
  <si>
    <t xml:space="preserve">티어업 시 코어 유지율</t>
  </si>
  <si>
    <r>
      <rPr>
        <sz val="9"/>
        <color rgb="FF606060"/>
        <rFont val="Arial"/>
        <family val="0"/>
        <charset val="1"/>
      </rPr>
      <t xml:space="preserve">85%</t>
    </r>
    <r>
      <rPr>
        <sz val="9"/>
        <color rgb="FF606060"/>
        <rFont val="Noto Sans CJK SC"/>
        <family val="2"/>
      </rPr>
      <t xml:space="preserve">를 소각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리셋이 없으면 티어 배수가 폭주</t>
    </r>
  </si>
  <si>
    <t xml:space="preserve">코어 획득 지수</t>
  </si>
  <si>
    <t xml:space="preserve">획득 코어 = (도달웨이브/10)^지수</t>
  </si>
  <si>
    <t xml:space="preserve">코어당 공격 증가</t>
  </si>
  <si>
    <t xml:space="preserve">코어 1개당 공격 배수 증가분</t>
  </si>
  <si>
    <t xml:space="preserve">코어당 코인 증가</t>
  </si>
  <si>
    <t xml:space="preserve">공격보다 낮게 유지</t>
  </si>
  <si>
    <t xml:space="preserve">일일 런 수 (평균 유저)</t>
  </si>
  <si>
    <t xml:space="preserve">런 1회 약 10분 기준</t>
  </si>
  <si>
    <t xml:space="preserve">티어 게이트 (도달 웨이브)</t>
  </si>
  <si>
    <t xml:space="preserve">이 웨이브에 도달하면 승천 가능. 간격이 점점 벌어지는 것이 정상</t>
  </si>
  <si>
    <t xml:space="preserve">티어 2 개방</t>
  </si>
  <si>
    <r>
      <rPr>
        <sz val="9"/>
        <color rgb="FFC00000"/>
        <rFont val="Arial"/>
        <family val="0"/>
        <charset val="1"/>
      </rPr>
      <t xml:space="preserve">C# </t>
    </r>
    <r>
      <rPr>
        <sz val="9"/>
        <color rgb="FFC00000"/>
        <rFont val="Noto Sans CJK SC"/>
        <family val="2"/>
      </rPr>
      <t xml:space="preserve">검증 결과 </t>
    </r>
    <r>
      <rPr>
        <sz val="9"/>
        <color rgb="FFC00000"/>
        <rFont val="Arial"/>
        <family val="0"/>
        <charset val="1"/>
      </rPr>
      <t xml:space="preserve">60→50 </t>
    </r>
    <r>
      <rPr>
        <sz val="9"/>
        <color rgb="FFC00000"/>
        <rFont val="Noto Sans CJK SC"/>
        <family val="2"/>
      </rPr>
      <t xml:space="preserve">수정</t>
    </r>
    <r>
      <rPr>
        <sz val="9"/>
        <color rgb="FFC00000"/>
        <rFont val="Arial"/>
        <family val="0"/>
        <charset val="1"/>
      </rPr>
      <t xml:space="preserve">. 60</t>
    </r>
    <r>
      <rPr>
        <sz val="9"/>
        <color rgb="FFC00000"/>
        <rFont val="Noto Sans CJK SC"/>
        <family val="2"/>
      </rPr>
      <t xml:space="preserve">이면 </t>
    </r>
    <r>
      <rPr>
        <sz val="9"/>
        <color rgb="FFC00000"/>
        <rFont val="Arial"/>
        <family val="0"/>
        <charset val="1"/>
      </rPr>
      <t xml:space="preserve">3~5</t>
    </r>
    <r>
      <rPr>
        <sz val="9"/>
        <color rgb="FFC00000"/>
        <rFont val="Noto Sans CJK SC"/>
        <family val="2"/>
      </rPr>
      <t xml:space="preserve">회차 여유가 </t>
    </r>
    <r>
      <rPr>
        <sz val="9"/>
        <color rgb="FFC00000"/>
        <rFont val="Arial"/>
        <family val="0"/>
        <charset val="1"/>
      </rPr>
      <t xml:space="preserve">0.91</t>
    </r>
    <r>
      <rPr>
        <sz val="9"/>
        <color rgb="FFC00000"/>
        <rFont val="Noto Sans CJK SC"/>
        <family val="2"/>
      </rPr>
      <t xml:space="preserve">로 진행 불가</t>
    </r>
  </si>
  <si>
    <t xml:space="preserve">티어 3 개방</t>
  </si>
  <si>
    <t xml:space="preserve">티어 4 개방</t>
  </si>
  <si>
    <t xml:space="preserve">티어 5 개방</t>
  </si>
  <si>
    <t xml:space="preserve">티어 6 개방</t>
  </si>
  <si>
    <t xml:space="preserve">티어 7 개방</t>
  </si>
  <si>
    <t xml:space="preserve">티어 8 개방</t>
  </si>
  <si>
    <t xml:space="preserve">티어 9 개방</t>
  </si>
  <si>
    <t xml:space="preserve">티어 10 개방</t>
  </si>
  <si>
    <t xml:space="preserve">⚠ 튜닝 시 반드시 읽을 것</t>
  </si>
  <si>
    <r>
      <rPr>
        <sz val="9"/>
        <color rgb="FF404040"/>
        <rFont val="Arial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환생 메타 파라미터</t>
    </r>
    <r>
      <rPr>
        <sz val="9"/>
        <color rgb="FF404040"/>
        <rFont val="Arial"/>
        <family val="0"/>
        <charset val="1"/>
      </rPr>
      <t xml:space="preserve">(B34~B38)</t>
    </r>
    <r>
      <rPr>
        <sz val="9"/>
        <color rgb="FF404040"/>
        <rFont val="Noto Sans CJK SC"/>
        <family val="2"/>
      </rPr>
      <t xml:space="preserve">는 서로 강하게 얽혀 있습니다</t>
    </r>
    <r>
      <rPr>
        <sz val="9"/>
        <color rgb="FF404040"/>
        <rFont val="Arial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하나만 바꾸면 모델이 깨집니다</t>
    </r>
    <r>
      <rPr>
        <sz val="9"/>
        <color rgb="FF404040"/>
        <rFont val="Arial"/>
        <family val="0"/>
        <charset val="1"/>
      </rPr>
      <t xml:space="preserve">.</t>
    </r>
  </si>
  <si>
    <r>
      <rPr>
        <sz val="9"/>
        <color rgb="FF404040"/>
        <rFont val="Arial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스트레스 테스트 결과 — 아래 세 가지는 단독으로 바꾸면 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진행 불가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가 됩니다</t>
    </r>
    <r>
      <rPr>
        <sz val="9"/>
        <color rgb="FF404040"/>
        <rFont val="Arial"/>
        <family val="0"/>
        <charset val="1"/>
      </rPr>
      <t xml:space="preserve">:</t>
    </r>
  </si>
  <si>
    <t xml:space="preserve">    적 체력 증가율 1.09 → 1.12 (여유가 0.02까지 붕괴)</t>
  </si>
  <si>
    <t xml:space="preserve">    티어 배수 2.5 → 1.5 (선형 코어만으로는 못 버팀)</t>
  </si>
  <si>
    <t xml:space="preserve">    도달 웨이브 지수 0.269 → 0.40 (성장이 배수를 앞질러 버림)</t>
  </si>
  <si>
    <r>
      <rPr>
        <sz val="9"/>
        <color rgb="FF404040"/>
        <rFont val="Arial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안전하게 바꿀 수 있는 것</t>
    </r>
    <r>
      <rPr>
        <sz val="9"/>
        <color rgb="FF404040"/>
        <rFont val="Arial"/>
        <family val="0"/>
        <charset val="1"/>
      </rPr>
      <t xml:space="preserve">: </t>
    </r>
    <r>
      <rPr>
        <sz val="9"/>
        <color rgb="FF404040"/>
        <rFont val="Noto Sans CJK SC"/>
        <family val="2"/>
      </rPr>
      <t xml:space="preserve">코인 증가율</t>
    </r>
    <r>
      <rPr>
        <sz val="9"/>
        <color rgb="FF404040"/>
        <rFont val="Arial"/>
        <family val="0"/>
        <charset val="1"/>
      </rPr>
      <t xml:space="preserve">, </t>
    </r>
    <r>
      <rPr>
        <sz val="9"/>
        <color rgb="FF404040"/>
        <rFont val="Noto Sans CJK SC"/>
        <family val="2"/>
      </rPr>
      <t xml:space="preserve">일일 런 수</t>
    </r>
    <r>
      <rPr>
        <sz val="9"/>
        <color rgb="FF404040"/>
        <rFont val="Arial"/>
        <family val="0"/>
        <charset val="1"/>
      </rPr>
      <t xml:space="preserve">, </t>
    </r>
    <r>
      <rPr>
        <sz val="9"/>
        <color rgb="FF404040"/>
        <rFont val="Noto Sans CJK SC"/>
        <family val="2"/>
      </rPr>
      <t xml:space="preserve">수익모델 시트 전체</t>
    </r>
  </si>
  <si>
    <r>
      <rPr>
        <sz val="9"/>
        <color rgb="FF404040"/>
        <rFont val="Arial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무엇을 바꾸든 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환생메타</t>
    </r>
    <r>
      <rPr>
        <sz val="9"/>
        <color rgb="FF404040"/>
        <rFont val="Arial"/>
        <family val="0"/>
        <charset val="1"/>
      </rPr>
      <t xml:space="preserve">' </t>
    </r>
    <r>
      <rPr>
        <sz val="9"/>
        <color rgb="FF404040"/>
        <rFont val="Noto Sans CJK SC"/>
        <family val="2"/>
      </rPr>
      <t xml:space="preserve">시트 </t>
    </r>
    <r>
      <rPr>
        <sz val="9"/>
        <color rgb="FF404040"/>
        <rFont val="Arial"/>
        <family val="0"/>
        <charset val="1"/>
      </rPr>
      <t xml:space="preserve">O40 </t>
    </r>
    <r>
      <rPr>
        <sz val="9"/>
        <color rgb="FF404040"/>
        <rFont val="Noto Sans CJK SC"/>
        <family val="2"/>
      </rPr>
      <t xml:space="preserve">진단 패널이 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정상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인지 확인하세요</t>
    </r>
    <r>
      <rPr>
        <sz val="9"/>
        <color rgb="FF404040"/>
        <rFont val="Arial"/>
        <family val="0"/>
        <charset val="1"/>
      </rPr>
      <t xml:space="preserve">.</t>
    </r>
  </si>
  <si>
    <r>
      <rPr>
        <b val="true"/>
        <sz val="9"/>
        <color rgb="FFC00000"/>
        <rFont val="Noto Sans CJK SC"/>
        <family val="2"/>
      </rPr>
      <t xml:space="preserve">※ 스프레드시트 한계 — 승천 보너스를 도달 회차에 즉시 적용하고 있습니다</t>
    </r>
    <r>
      <rPr>
        <b val="true"/>
        <sz val="9"/>
        <color rgb="FFC00000"/>
        <rFont val="Arial"/>
        <family val="0"/>
        <charset val="1"/>
      </rPr>
      <t xml:space="preserve">.</t>
    </r>
  </si>
  <si>
    <r>
      <rPr>
        <sz val="9"/>
        <color rgb="FFC00000"/>
        <rFont val="Noto Sans CJK SC"/>
        <family val="2"/>
      </rPr>
      <t xml:space="preserve">   실제로는 승천 후 다음 회차부터 적용되므로</t>
    </r>
    <r>
      <rPr>
        <sz val="9"/>
        <color rgb="FFC00000"/>
        <rFont val="Arial"/>
        <family val="0"/>
        <charset val="1"/>
      </rPr>
      <t xml:space="preserve">, </t>
    </r>
    <r>
      <rPr>
        <sz val="9"/>
        <color rgb="FFC00000"/>
        <rFont val="Noto Sans CJK SC"/>
        <family val="2"/>
      </rPr>
      <t xml:space="preserve">이 시트의 여유는 약간 낙관적입니다</t>
    </r>
    <r>
      <rPr>
        <sz val="9"/>
        <color rgb="FFC00000"/>
        <rFont val="Arial"/>
        <family val="0"/>
        <charset val="1"/>
      </rPr>
      <t xml:space="preserve">.</t>
    </r>
  </si>
  <si>
    <r>
      <rPr>
        <sz val="9"/>
        <color rgb="FFC00000"/>
        <rFont val="Noto Sans CJK SC"/>
        <family val="2"/>
      </rPr>
      <t xml:space="preserve">   정확한 값은 </t>
    </r>
    <r>
      <rPr>
        <sz val="9"/>
        <color rgb="FFC00000"/>
        <rFont val="Arial"/>
        <family val="0"/>
        <charset val="1"/>
      </rPr>
      <t xml:space="preserve">C# EconomyCore </t>
    </r>
    <r>
      <rPr>
        <sz val="9"/>
        <color rgb="FFC00000"/>
        <rFont val="Noto Sans CJK SC"/>
        <family val="2"/>
      </rPr>
      <t xml:space="preserve">단위 테스트를 기준으로 하세요</t>
    </r>
    <r>
      <rPr>
        <sz val="9"/>
        <color rgb="FFC00000"/>
        <rFont val="Arial"/>
        <family val="0"/>
        <charset val="1"/>
      </rPr>
      <t xml:space="preserve">.</t>
    </r>
  </si>
  <si>
    <t xml:space="preserve">웨이브</t>
  </si>
  <si>
    <t xml:space="preserve">적 체력(개체)</t>
  </si>
  <si>
    <t xml:space="preserve">웨이브 총체력</t>
  </si>
  <si>
    <t xml:space="preserve">웨이브 코인</t>
  </si>
  <si>
    <t xml:space="preserve">누적 코인</t>
  </si>
  <si>
    <t xml:space="preserve">업그레이드 Lv</t>
  </si>
  <si>
    <t xml:space="preserve">DPS</t>
  </si>
  <si>
    <t xml:space="preserve">웨이브 시간(초)</t>
  </si>
  <si>
    <t xml:space="preserve">누적 시간(분)</t>
  </si>
  <si>
    <t xml:space="preserve">판정</t>
  </si>
  <si>
    <t xml:space="preserve">레벨</t>
  </si>
  <si>
    <t xml:space="preserve">해당 레벨 비용</t>
  </si>
  <si>
    <t xml:space="preserve">누적 비용</t>
  </si>
  <si>
    <t xml:space="preserve">누적 DPS</t>
  </si>
  <si>
    <t xml:space="preserve">코인당 DPS 효율</t>
  </si>
  <si>
    <t xml:space="preserve">코인당 DPS 효율이 계속 떨어지는 것이 정상입니다. 이 하락이 환생의 동기를 만듭니다.</t>
  </si>
  <si>
    <t xml:space="preserve">수익 모델 — ARPDAU / LTV / 목표 CPI</t>
  </si>
  <si>
    <t xml:space="preserve">노란색 셀만 수정. 리워드 광고 중심 + 전면광고는 라운드 종료 시 최소한만.</t>
  </si>
  <si>
    <t xml:space="preserve">인게임 행동 (목표치)</t>
  </si>
  <si>
    <t xml:space="preserve">일 세션 수 / DAU</t>
  </si>
  <si>
    <r>
      <rPr>
        <sz val="9"/>
        <color rgb="FF606060"/>
        <rFont val="Arial"/>
        <family val="0"/>
        <charset val="1"/>
      </rPr>
      <t xml:space="preserve">3</t>
    </r>
    <r>
      <rPr>
        <sz val="9"/>
        <color rgb="FF606060"/>
        <rFont val="Noto Sans CJK SC"/>
        <family val="2"/>
      </rPr>
      <t xml:space="preserve">장 목표</t>
    </r>
    <r>
      <rPr>
        <sz val="9"/>
        <color rgb="FF606060"/>
        <rFont val="Arial"/>
        <family val="0"/>
        <charset val="1"/>
      </rPr>
      <t xml:space="preserve">: 6</t>
    </r>
    <r>
      <rPr>
        <sz val="9"/>
        <color rgb="FF606060"/>
        <rFont val="Noto Sans CJK SC"/>
        <family val="2"/>
      </rPr>
      <t xml:space="preserve">회</t>
    </r>
  </si>
  <si>
    <t xml:space="preserve">세션당 리워드 광고 시청</t>
  </si>
  <si>
    <t xml:space="preserve">오프라인보상 + 배속 + 부활 중 평균</t>
  </si>
  <si>
    <t xml:space="preserve">리워드 광고 eCPM ($)</t>
  </si>
  <si>
    <t xml:space="preserve">북미 기준. 신흥국은 3~6달러</t>
  </si>
  <si>
    <t xml:space="preserve">전면 광고 노출 / 세션</t>
  </si>
  <si>
    <t xml:space="preserve">라운드 종료 후에만. 오프라인 보상 등 핵심 동선에는 절대 금지</t>
  </si>
  <si>
    <t xml:space="preserve">전면 광고 eCPM ($)</t>
  </si>
  <si>
    <t xml:space="preserve">리워드보다 낮음</t>
  </si>
  <si>
    <t xml:space="preserve">광고 수익</t>
  </si>
  <si>
    <t xml:space="preserve">일 리워드 광고 노출 / DAU</t>
  </si>
  <si>
    <t xml:space="preserve">일 전면 광고 노출 / DAU</t>
  </si>
  <si>
    <t xml:space="preserve">광고 ARPDAU ($)</t>
  </si>
  <si>
    <t xml:space="preserve">유저 1명이 하루에 만드는 광고 수익</t>
  </si>
  <si>
    <t xml:space="preserve">인앱 결제</t>
  </si>
  <si>
    <t xml:space="preserve">일 결제 전환율 (DAU 대비)</t>
  </si>
  <si>
    <t xml:space="preserve">일반 캐주얼은 1~2%. 방치형은 메타가 깊어 다소 높게 나옴</t>
  </si>
  <si>
    <r>
      <rPr>
        <sz val="10"/>
        <rFont val="Arial"/>
        <family val="0"/>
        <charset val="1"/>
      </rPr>
      <t xml:space="preserve">ARPPU — </t>
    </r>
    <r>
      <rPr>
        <sz val="10"/>
        <rFont val="Noto Sans CJK SC"/>
        <family val="2"/>
      </rPr>
      <t xml:space="preserve">결제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평균 </t>
    </r>
    <r>
      <rPr>
        <sz val="10"/>
        <rFont val="Arial"/>
        <family val="0"/>
        <charset val="1"/>
      </rPr>
      <t xml:space="preserve">($)</t>
    </r>
  </si>
  <si>
    <t xml:space="preserve">주간 구독 + 광고제거 + 젬팩 혼합 가정</t>
  </si>
  <si>
    <t xml:space="preserve">IAP ARPDAU ($)</t>
  </si>
  <si>
    <t xml:space="preserve">종합</t>
  </si>
  <si>
    <t xml:space="preserve">총 ARPDAU ($)</t>
  </si>
  <si>
    <r>
      <rPr>
        <b val="true"/>
        <sz val="10"/>
        <rFont val="Arial"/>
        <family val="0"/>
        <charset val="1"/>
      </rPr>
      <t xml:space="preserve">IAP </t>
    </r>
    <r>
      <rPr>
        <b val="true"/>
        <sz val="10"/>
        <rFont val="Noto Sans CJK SC"/>
        <family val="2"/>
      </rPr>
      <t xml:space="preserve">비중</t>
    </r>
  </si>
  <si>
    <t xml:space="preserve">목표 55~60%</t>
  </si>
  <si>
    <t xml:space="preserve">광고 비중</t>
  </si>
  <si>
    <t xml:space="preserve">목표 40~45%</t>
  </si>
  <si>
    <t xml:space="preserve">목표(58%) 대비 IAP 갭</t>
  </si>
  <si>
    <t xml:space="preserve">음수면 광고 의존이 과함 — IAP 설계를 보강할 것</t>
  </si>
  <si>
    <t xml:space="preserve">LTV · UA</t>
  </si>
  <si>
    <t xml:space="preserve">평균 유저 수명 (일)</t>
  </si>
  <si>
    <r>
      <rPr>
        <sz val="9"/>
        <color rgb="FF606060"/>
        <rFont val="Arial"/>
        <family val="0"/>
        <charset val="1"/>
      </rPr>
      <t xml:space="preserve">D30 8% </t>
    </r>
    <r>
      <rPr>
        <sz val="9"/>
        <color rgb="FF606060"/>
        <rFont val="Noto Sans CJK SC"/>
        <family val="2"/>
      </rPr>
      <t xml:space="preserve">가정 시 대략치</t>
    </r>
  </si>
  <si>
    <t xml:space="preserve">LTV ($)</t>
  </si>
  <si>
    <t xml:space="preserve">목표 ROAS (배)</t>
  </si>
  <si>
    <r>
      <rPr>
        <sz val="9"/>
        <color rgb="FF606060"/>
        <rFont val="Arial"/>
        <family val="0"/>
        <charset val="1"/>
      </rPr>
      <t xml:space="preserve">1.0 </t>
    </r>
    <r>
      <rPr>
        <sz val="9"/>
        <color rgb="FF606060"/>
        <rFont val="Noto Sans CJK SC"/>
        <family val="2"/>
      </rPr>
      <t xml:space="preserve">미만이면 광고 태울수록 손해</t>
    </r>
  </si>
  <si>
    <t xml:space="preserve">감당 가능 최대 CPI ($)</t>
  </si>
  <si>
    <t xml:space="preserve">실제 CPI가 이보다 높으면 스케일 불가</t>
  </si>
  <si>
    <t xml:space="preserve">규모 시나리오</t>
  </si>
  <si>
    <t xml:space="preserve">소규모 — DAU 10,000</t>
  </si>
  <si>
    <t xml:space="preserve">월 매출</t>
  </si>
  <si>
    <t xml:space="preserve">중간 — DAU 50,000</t>
  </si>
  <si>
    <t xml:space="preserve">성공 — DAU 200,000</t>
  </si>
  <si>
    <t xml:space="preserve">주의 — 위 수치는 전부 목표 가정입니다. 소프트런치 실측값으로 반드시 교체하세요.</t>
  </si>
  <si>
    <t xml:space="preserve">회차</t>
  </si>
  <si>
    <t xml:space="preserve">도달 웨이브</t>
  </si>
  <si>
    <t xml:space="preserve">티어</t>
  </si>
  <si>
    <t xml:space="preserve">티어 배수</t>
  </si>
  <si>
    <t xml:space="preserve">획득 코어</t>
  </si>
  <si>
    <t xml:space="preserve">누적 코어</t>
  </si>
  <si>
    <t xml:space="preserve">공격 배수</t>
  </si>
  <si>
    <t xml:space="preserve">코인 배수</t>
  </si>
  <si>
    <t xml:space="preserve">필요 DPS</t>
  </si>
  <si>
    <t xml:space="preserve">실제 DPS</t>
  </si>
  <si>
    <t xml:space="preserve">여유</t>
  </si>
  <si>
    <t xml:space="preserve">누적 일수</t>
  </si>
  <si>
    <t xml:space="preserve">⚠ 자동 진단 — 파라미터를 바꾼 뒤 반드시 여기를 확인</t>
  </si>
  <si>
    <t xml:space="preserve">여유 최솟값</t>
  </si>
  <si>
    <r>
      <rPr>
        <sz val="9"/>
        <color rgb="FF606060"/>
        <rFont val="Arial"/>
        <family val="0"/>
        <charset val="1"/>
      </rPr>
      <t xml:space="preserve">1.00 </t>
    </r>
    <r>
      <rPr>
        <sz val="9"/>
        <color rgb="FF606060"/>
        <rFont val="Noto Sans CJK SC"/>
        <family val="2"/>
      </rPr>
      <t xml:space="preserve">미만이면 진행 불가 구간이 생긴 것</t>
    </r>
  </si>
  <si>
    <t xml:space="preserve">여유 최댓값</t>
  </si>
  <si>
    <r>
      <rPr>
        <sz val="9"/>
        <color rgb="FF606060"/>
        <rFont val="Arial"/>
        <family val="0"/>
        <charset val="1"/>
      </rPr>
      <t xml:space="preserve">6 </t>
    </r>
    <r>
      <rPr>
        <sz val="9"/>
        <color rgb="FF606060"/>
        <rFont val="Noto Sans CJK SC"/>
        <family val="2"/>
      </rPr>
      <t xml:space="preserve">이상이면 너무 쉬워 긴장감이 사라짐</t>
    </r>
  </si>
  <si>
    <t xml:space="preserve">미달 회차 수</t>
  </si>
  <si>
    <r>
      <rPr>
        <sz val="9"/>
        <color rgb="FF606060"/>
        <rFont val="Arial"/>
        <family val="0"/>
        <charset val="1"/>
      </rPr>
      <t xml:space="preserve">0</t>
    </r>
    <r>
      <rPr>
        <sz val="9"/>
        <color rgb="FF606060"/>
        <rFont val="Noto Sans CJK SC"/>
        <family val="2"/>
      </rPr>
      <t xml:space="preserve">이어야 정상</t>
    </r>
  </si>
  <si>
    <r>
      <rPr>
        <b val="true"/>
        <sz val="10"/>
        <rFont val="Arial"/>
        <family val="0"/>
        <charset val="1"/>
      </rPr>
      <t xml:space="preserve">300</t>
    </r>
    <r>
      <rPr>
        <b val="true"/>
        <sz val="10"/>
        <rFont val="Noto Sans CJK SC"/>
        <family val="2"/>
      </rPr>
      <t xml:space="preserve">회차 최종 티어</t>
    </r>
  </si>
  <si>
    <r>
      <rPr>
        <sz val="9"/>
        <color rgb="FF606060"/>
        <rFont val="Arial"/>
        <family val="0"/>
        <charset val="1"/>
      </rPr>
      <t xml:space="preserve">9</t>
    </r>
    <r>
      <rPr>
        <sz val="9"/>
        <color rgb="FF606060"/>
        <rFont val="Noto Sans CJK SC"/>
        <family val="2"/>
      </rPr>
      <t xml:space="preserve">에 도달하면 콘텐츠 소진 — 게이트를 늘릴 것</t>
    </r>
  </si>
  <si>
    <r>
      <rPr>
        <b val="true"/>
        <sz val="10"/>
        <rFont val="Arial"/>
        <family val="0"/>
        <charset val="1"/>
      </rPr>
      <t xml:space="preserve">90</t>
    </r>
    <r>
      <rPr>
        <b val="true"/>
        <sz val="10"/>
        <rFont val="Noto Sans CJK SC"/>
        <family val="2"/>
      </rPr>
      <t xml:space="preserve">일차 도달 웨이브</t>
    </r>
  </si>
  <si>
    <t xml:space="preserve">종합 판정</t>
  </si>
  <si>
    <r>
      <rPr>
        <b val="true"/>
        <sz val="13"/>
        <rFont val="Arial"/>
        <family val="0"/>
        <charset val="1"/>
      </rPr>
      <t xml:space="preserve">90</t>
    </r>
    <r>
      <rPr>
        <b val="true"/>
        <sz val="13"/>
        <rFont val="Noto Sans CJK SC"/>
        <family val="2"/>
      </rPr>
      <t xml:space="preserve">일 리텐션 커브 — 마일스톤</t>
    </r>
  </si>
  <si>
    <t xml:space="preserve">환생메타 시트를 일자 기준으로 요약합니다. 이 표가 라이브 이벤트 배치의 기준이 됩니다.</t>
  </si>
  <si>
    <t xml:space="preserve">일차</t>
  </si>
  <si>
    <t xml:space="preserve">누적 회차</t>
  </si>
  <si>
    <t xml:space="preserve">직전 구간 성장</t>
  </si>
  <si>
    <t xml:space="preserve">읽는 법</t>
  </si>
  <si>
    <r>
      <rPr>
        <sz val="9"/>
        <color rgb="FF404040"/>
        <rFont val="Arial"/>
        <family val="0"/>
        <charset val="1"/>
      </rPr>
      <t xml:space="preserve">· '</t>
    </r>
    <r>
      <rPr>
        <sz val="9"/>
        <color rgb="FF404040"/>
        <rFont val="Noto Sans CJK SC"/>
        <family val="2"/>
      </rPr>
      <t xml:space="preserve">직전 구간 성장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Noto Sans CJK SC"/>
        <family val="2"/>
      </rPr>
      <t xml:space="preserve">이 </t>
    </r>
    <r>
      <rPr>
        <sz val="9"/>
        <color rgb="FF404040"/>
        <rFont val="Arial"/>
        <family val="0"/>
        <charset val="1"/>
      </rPr>
      <t xml:space="preserve">0</t>
    </r>
    <r>
      <rPr>
        <sz val="9"/>
        <color rgb="FF404040"/>
        <rFont val="Noto Sans CJK SC"/>
        <family val="2"/>
      </rPr>
      <t xml:space="preserve">에 가까워지는 지점이 이탈 위험 구간입니다</t>
    </r>
    <r>
      <rPr>
        <sz val="9"/>
        <color rgb="FF404040"/>
        <rFont val="Arial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여기에 이벤트를 배치하세요</t>
    </r>
    <r>
      <rPr>
        <sz val="9"/>
        <color rgb="FF404040"/>
        <rFont val="Arial"/>
        <family val="0"/>
        <charset val="1"/>
      </rPr>
      <t xml:space="preserve">.</t>
    </r>
  </si>
  <si>
    <r>
      <rPr>
        <sz val="9"/>
        <color rgb="FF404040"/>
        <rFont val="Arial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티어가 올라가는 날이 유저에게 가장 큰 사건입니다</t>
    </r>
    <r>
      <rPr>
        <sz val="9"/>
        <color rgb="FF404040"/>
        <rFont val="Arial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연출과 보상을 몰아주세요</t>
    </r>
    <r>
      <rPr>
        <sz val="9"/>
        <color rgb="FF404040"/>
        <rFont val="Arial"/>
        <family val="0"/>
        <charset val="1"/>
      </rPr>
      <t xml:space="preserve">.</t>
    </r>
  </si>
  <si>
    <r>
      <rPr>
        <sz val="9"/>
        <color rgb="FF404040"/>
        <rFont val="Arial"/>
        <family val="0"/>
        <charset val="1"/>
      </rPr>
      <t xml:space="preserve">· 90</t>
    </r>
    <r>
      <rPr>
        <sz val="9"/>
        <color rgb="FF404040"/>
        <rFont val="Noto Sans CJK SC"/>
        <family val="2"/>
      </rPr>
      <t xml:space="preserve">일차에도 다음 티어 게이트가 남아 있어야 합니다</t>
    </r>
    <r>
      <rPr>
        <sz val="9"/>
        <color rgb="FF404040"/>
        <rFont val="Arial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남지 않으면 지수를 낮추세요</t>
    </r>
    <r>
      <rPr>
        <sz val="9"/>
        <color rgb="FF404040"/>
        <rFont val="Arial"/>
        <family val="0"/>
        <charset val="1"/>
      </rPr>
      <t xml:space="preserve">.</t>
    </r>
  </si>
  <si>
    <r>
      <rPr>
        <sz val="9"/>
        <color rgb="FF404040"/>
        <rFont val="Arial"/>
        <family val="0"/>
        <charset val="1"/>
      </rPr>
      <t xml:space="preserve">· </t>
    </r>
    <r>
      <rPr>
        <sz val="9"/>
        <color rgb="FF404040"/>
        <rFont val="Noto Sans CJK SC"/>
        <family val="2"/>
      </rPr>
      <t xml:space="preserve">한국</t>
    </r>
    <r>
      <rPr>
        <sz val="9"/>
        <color rgb="FF404040"/>
        <rFont val="Arial"/>
        <family val="0"/>
        <charset val="1"/>
      </rPr>
      <t xml:space="preserve">·</t>
    </r>
    <r>
      <rPr>
        <sz val="9"/>
        <color rgb="FF404040"/>
        <rFont val="Noto Sans CJK SC"/>
        <family val="2"/>
      </rPr>
      <t xml:space="preserve">일본은 </t>
    </r>
    <r>
      <rPr>
        <sz val="9"/>
        <color rgb="FF404040"/>
        <rFont val="Arial"/>
        <family val="0"/>
        <charset val="1"/>
      </rPr>
      <t xml:space="preserve">2</t>
    </r>
    <r>
      <rPr>
        <sz val="9"/>
        <color rgb="FF404040"/>
        <rFont val="Noto Sans CJK SC"/>
        <family val="2"/>
      </rPr>
      <t xml:space="preserve">차 시장입니다</t>
    </r>
    <r>
      <rPr>
        <sz val="9"/>
        <color rgb="FF404040"/>
        <rFont val="Arial"/>
        <family val="0"/>
        <charset val="1"/>
      </rPr>
      <t xml:space="preserve">. </t>
    </r>
    <r>
      <rPr>
        <sz val="9"/>
        <color rgb="FF404040"/>
        <rFont val="Noto Sans CJK SC"/>
        <family val="2"/>
      </rPr>
      <t xml:space="preserve">조기 과금으로 이 커브가 압축되지 않도록 성장은 팔지 마세요</t>
    </r>
    <r>
      <rPr>
        <sz val="9"/>
        <color rgb="FF404040"/>
        <rFont val="Arial"/>
        <family val="0"/>
        <charset val="1"/>
      </rPr>
      <t xml:space="preserve">.</t>
    </r>
  </si>
  <si>
    <t xml:space="preserve">오프라인 보상 (4층) — 우리 게임의 차별화 핵심</t>
  </si>
  <si>
    <t xml:space="preserve">설계 원칙: 오프라인은 코인과 젬만 준다. 코어는 절대 주지 않는다.</t>
  </si>
  <si>
    <t xml:space="preserve">코어를 주면 90일 커브가 즉시 붕괴합니다. 이 한 줄이 이 시트의 전부입니다.</t>
  </si>
  <si>
    <t xml:space="preserve">파라미터</t>
  </si>
  <si>
    <t xml:space="preserve">기본 누적 상한 (시간)</t>
  </si>
  <si>
    <t xml:space="preserve">이 시간이 지나면 더 안 쌓임 → 하루 3회 복귀를 유도</t>
  </si>
  <si>
    <t xml:space="preserve">업그레이드 최대 상한 (시간)</t>
  </si>
  <si>
    <t xml:space="preserve">수면 보호용. 코어가 아니라 젬으로 개방</t>
  </si>
  <si>
    <t xml:space="preserve">최대 보상 비율 (직전 런 대비)</t>
  </si>
  <si>
    <t xml:space="preserve">핵심 레버. 40%를 넘기면 액티브 플레이가 죽음</t>
  </si>
  <si>
    <t xml:space="preserve">광고 시청 배수</t>
  </si>
  <si>
    <t xml:space="preserve">오프라인 화면 = 접속마다 100% 뜨는 리워드 광고 자리</t>
  </si>
  <si>
    <t xml:space="preserve">젬 지급 (시간당)</t>
  </si>
  <si>
    <t xml:space="preserve">연구소 가속용. 성장 자체는 아님</t>
  </si>
  <si>
    <t xml:space="preserve">분석 기준 회차</t>
  </si>
  <si>
    <t xml:space="preserve">아래 표를 어느 시점 기준으로 볼지</t>
  </si>
  <si>
    <t xml:space="preserve">기준 시점 계산</t>
  </si>
  <si>
    <t xml:space="preserve">런 1회 총 코인</t>
  </si>
  <si>
    <t xml:space="preserve">이 값이 오프라인 보상의 기준선</t>
  </si>
  <si>
    <t xml:space="preserve">자리비움 시간별 보상</t>
  </si>
  <si>
    <t xml:space="preserve">자리비움(h)</t>
  </si>
  <si>
    <t xml:space="preserve">인정 시간(h)</t>
  </si>
  <si>
    <t xml:space="preserve">보상 비율</t>
  </si>
  <si>
    <t xml:space="preserve">시작 웨이브</t>
  </si>
  <si>
    <t xml:space="preserve">광고 시 비율</t>
  </si>
  <si>
    <t xml:space="preserve">광고 시 시작 웨이브</t>
  </si>
  <si>
    <t xml:space="preserve">젬</t>
  </si>
  <si>
    <t xml:space="preserve">복귀 유도 · 광고 노출</t>
  </si>
  <si>
    <t xml:space="preserve">손실 없는 하루 복귀 횟수</t>
  </si>
  <si>
    <t xml:space="preserve">상한 4h면 하루 6회. 세션 목표와 직결</t>
  </si>
  <si>
    <t xml:space="preserve">오프라인 화면 광고 시청률</t>
  </si>
  <si>
    <t xml:space="preserve">보상 2배는 강한 유인이라 높게 잡아도 됨</t>
  </si>
  <si>
    <t xml:space="preserve">오프라인發 일일 광고 노출</t>
  </si>
  <si>
    <t xml:space="preserve">수익모델 시트의 리워드 노출 중 이만큼이 여기서 나옴</t>
  </si>
  <si>
    <t xml:space="preserve">수익모델 총 리워드 노출 대비</t>
  </si>
  <si>
    <r>
      <rPr>
        <sz val="9"/>
        <color rgb="FF606060"/>
        <rFont val="Arial"/>
        <family val="0"/>
        <charset val="1"/>
      </rPr>
      <t xml:space="preserve">50% </t>
    </r>
    <r>
      <rPr>
        <sz val="9"/>
        <color rgb="FF606060"/>
        <rFont val="Noto Sans CJK SC"/>
        <family val="2"/>
      </rPr>
      <t xml:space="preserve">안팎이면 건강</t>
    </r>
    <r>
      <rPr>
        <sz val="9"/>
        <color rgb="FF606060"/>
        <rFont val="Arial"/>
        <family val="0"/>
        <charset val="1"/>
      </rPr>
      <t xml:space="preserve">. 100%</t>
    </r>
    <r>
      <rPr>
        <sz val="9"/>
        <color rgb="FF606060"/>
        <rFont val="Noto Sans CJK SC"/>
        <family val="2"/>
      </rPr>
      <t xml:space="preserve">에 가까우면 다른 광고 자리가 없다는 뜻</t>
    </r>
  </si>
  <si>
    <t xml:space="preserve">커브 무결성 체크리스트</t>
  </si>
  <si>
    <t xml:space="preserve">□ 오프라인 보상에 코어(환생 화폐)가 포함되어 있지 않은가</t>
  </si>
  <si>
    <t xml:space="preserve">□ 보상 비율이 40%를 넘지 않는가 — 넘으면 액티브 플레이 유인이 사라짐</t>
  </si>
  <si>
    <t xml:space="preserve">□ 상한 시간을 코어가 아니라 젬으로 열게 되어 있는가</t>
  </si>
  <si>
    <t xml:space="preserve">□ 광고 배수 적용 후에도 시작 웨이브가 직전 도달 웨이브를 넘지 않는가</t>
  </si>
  <si>
    <t xml:space="preserve">□ 앱을 완전히 종료해도 보상이 누적되는가 (The Tower의 최대 약점)</t>
  </si>
  <si>
    <t xml:space="preserve">네 번째 항목이 깨지면 유저는 '플레이 없이 진행되는 게임'을 하게 됩니다. 반드시 검증하세요.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</si>
</sst>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0.0"/>
    <numFmt numFmtId="166" formatCode="0.000"/>
    <numFmt numFmtId="167" formatCode="0"/>
    <numFmt numFmtId="168" formatCode="0.00"/>
    <numFmt numFmtId="169" formatCode="0%"/>
    <numFmt numFmtId="170" formatCode="#,##0"/>
    <numFmt numFmtId="171" formatCode="#,##0.0"/>
    <numFmt numFmtId="172" formatCode="#,##0.0000"/>
    <numFmt numFmtId="173" formatCode="\$#,##0.00"/>
    <numFmt numFmtId="174" formatCode="\$#,##0.0000"/>
    <numFmt numFmtId="175" formatCode="0.00%"/>
    <numFmt numFmtId="176" formatCode="0.0%"/>
    <numFmt numFmtId="177" formatCode="0.0%;\(0.0%\);\-"/>
    <numFmt numFmtId="178" formatCode="0.00\x"/>
    <numFmt numFmtId="179" formatCode="\$#,##0"/>
    <numFmt numFmtId="180" formatCode="0.00E+00"/>
    <numFmt numFmtId="181" formatCode="#,##0.0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  <charset val="1"/>
    </font>
    <font>
      <i val="true"/>
      <sz val="9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color rgb="FF0000FF"/>
      <name val="Arial"/>
      <family val="0"/>
      <charset val="1"/>
    </font>
    <font>
      <sz val="9"/>
      <color rgb="FF606060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9"/>
      <color rgb="FF404040"/>
      <name val="Arial"/>
      <family val="0"/>
      <charset val="1"/>
    </font>
    <font>
      <sz val="9"/>
      <color rgb="FF404040"/>
      <name val="Noto Sans CJK SC"/>
      <family val="2"/>
    </font>
    <font>
      <sz val="9"/>
      <color rgb="FF606060"/>
      <name val="Arial"/>
      <family val="0"/>
      <charset val="1"/>
    </font>
    <font>
      <sz val="9"/>
      <color rgb="FF606060"/>
      <name val="Noto Sans CJK SC"/>
      <family val="2"/>
    </font>
    <font>
      <sz val="9"/>
      <color rgb="FFC00000"/>
      <name val="Arial"/>
      <family val="0"/>
      <charset val="1"/>
    </font>
    <font>
      <sz val="9"/>
      <color rgb="FFC00000"/>
      <name val="Noto Sans CJK SC"/>
      <family val="2"/>
    </font>
    <font>
      <b val="true"/>
      <sz val="10"/>
      <color rgb="FFC00000"/>
      <name val="Noto Sans CJK SC"/>
      <family val="2"/>
      <charset val="1"/>
    </font>
    <font>
      <sz val="9"/>
      <color rgb="FFC00000"/>
      <name val="Noto Sans CJK SC"/>
      <family val="2"/>
      <charset val="1"/>
    </font>
    <font>
      <b val="true"/>
      <sz val="9"/>
      <color rgb="FFC00000"/>
      <name val="Noto Sans CJK SC"/>
      <family val="2"/>
    </font>
    <font>
      <b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i val="true"/>
      <sz val="9"/>
      <color rgb="FF606060"/>
      <name val="Noto Sans CJK SC"/>
      <family val="2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i val="true"/>
      <sz val="9"/>
      <color rgb="FFC00000"/>
      <name val="Noto Sans CJK SC"/>
      <family val="2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404040"/>
      <name val="Noto Sans CJK S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2F4F6F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D9E2EC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2F2F2"/>
      <rgbColor rgb="FFD9E2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06060"/>
      <rgbColor rgb="FF878787"/>
      <rgbColor rgb="FF003366"/>
      <rgbColor rgb="FF339966"/>
      <rgbColor rgb="FF003300"/>
      <rgbColor rgb="FF333300"/>
      <rgbColor rgb="FF993300"/>
      <rgbColor rgb="FF993366"/>
      <rgbColor rgb="FF2F4F6F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웨이브별 소요시간 (벽이 생기는 지점)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웨이브시뮬레이션!H1</c:f>
              <c:strCache>
                <c:ptCount val="1"/>
                <c:pt idx="0">
                  <c:v>웨이브 시간(초)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웨이브시뮬레이션!$A$2:$A$101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웨이브시뮬레이션!$H$2:$H$101</c:f>
              <c:numCache>
                <c:formatCode>#,##0.0</c:formatCode>
                <c:ptCount val="100"/>
                <c:pt idx="0">
                  <c:v>12.5</c:v>
                </c:pt>
                <c:pt idx="1">
                  <c:v>7.78571428571429</c:v>
                </c:pt>
                <c:pt idx="2">
                  <c:v>5.9405</c:v>
                </c:pt>
                <c:pt idx="3">
                  <c:v>5.63056086956522</c:v>
                </c:pt>
                <c:pt idx="4">
                  <c:v>5.42916003846154</c:v>
                </c:pt>
                <c:pt idx="5">
                  <c:v>5.30559984448276</c:v>
                </c:pt>
                <c:pt idx="6">
                  <c:v>4.79171460240286</c:v>
                </c:pt>
                <c:pt idx="7">
                  <c:v>4.81062926530708</c:v>
                </c:pt>
                <c:pt idx="8">
                  <c:v>4.8599088821712</c:v>
                </c:pt>
                <c:pt idx="9">
                  <c:v>4.93612108964162</c:v>
                </c:pt>
                <c:pt idx="10">
                  <c:v>5.03694398849387</c:v>
                </c:pt>
                <c:pt idx="11">
                  <c:v>5.49026894745832</c:v>
                </c:pt>
                <c:pt idx="12">
                  <c:v>5.62532956356579</c:v>
                </c:pt>
                <c:pt idx="13">
                  <c:v>5.78453700404407</c:v>
                </c:pt>
                <c:pt idx="14">
                  <c:v>5.96736969149332</c:v>
                </c:pt>
                <c:pt idx="15">
                  <c:v>6.17369908421614</c:v>
                </c:pt>
                <c:pt idx="16">
                  <c:v>6.40371916299904</c:v>
                </c:pt>
                <c:pt idx="17">
                  <c:v>6.98005388766895</c:v>
                </c:pt>
                <c:pt idx="18">
                  <c:v>7.25710833428719</c:v>
                </c:pt>
                <c:pt idx="19">
                  <c:v>7.56126655123894</c:v>
                </c:pt>
                <c:pt idx="20">
                  <c:v>7.89353629264549</c:v>
                </c:pt>
                <c:pt idx="21">
                  <c:v>8.60395455898359</c:v>
                </c:pt>
                <c:pt idx="22">
                  <c:v>8.99810869351</c:v>
                </c:pt>
                <c:pt idx="23">
                  <c:v>9.42581100283788</c:v>
                </c:pt>
                <c:pt idx="24">
                  <c:v>9.88885396835229</c:v>
                </c:pt>
                <c:pt idx="25">
                  <c:v>10.778850825504</c:v>
                </c:pt>
                <c:pt idx="26">
                  <c:v>11.324286650409</c:v>
                </c:pt>
                <c:pt idx="27">
                  <c:v>11.9128862007268</c:v>
                </c:pt>
                <c:pt idx="28">
                  <c:v>12.9850459587922</c:v>
                </c:pt>
                <c:pt idx="29">
                  <c:v>13.6766090806425</c:v>
                </c:pt>
                <c:pt idx="30">
                  <c:v>14.4213896403601</c:v>
                </c:pt>
                <c:pt idx="31">
                  <c:v>15.2229152961612</c:v>
                </c:pt>
                <c:pt idx="32">
                  <c:v>16.5929776728157</c:v>
                </c:pt>
                <c:pt idx="33">
                  <c:v>17.5326820206129</c:v>
                </c:pt>
                <c:pt idx="34">
                  <c:v>18.5429811231868</c:v>
                </c:pt>
                <c:pt idx="35">
                  <c:v>20.2118494242736</c:v>
                </c:pt>
                <c:pt idx="36">
                  <c:v>21.3954086838296</c:v>
                </c:pt>
                <c:pt idx="37">
                  <c:v>22.6671357794292</c:v>
                </c:pt>
                <c:pt idx="38">
                  <c:v>24.7071779995779</c:v>
                </c:pt>
                <c:pt idx="39">
                  <c:v>26.1963470008251</c:v>
                </c:pt>
                <c:pt idx="40">
                  <c:v>27.7959469504331</c:v>
                </c:pt>
                <c:pt idx="41">
                  <c:v>30.297582175972</c:v>
                </c:pt>
                <c:pt idx="42">
                  <c:v>32.170286177711</c:v>
                </c:pt>
                <c:pt idx="43">
                  <c:v>34.1816049101662</c:v>
                </c:pt>
                <c:pt idx="44">
                  <c:v>37.2579493520812</c:v>
                </c:pt>
                <c:pt idx="45">
                  <c:v>39.6125295939217</c:v>
                </c:pt>
                <c:pt idx="46">
                  <c:v>42.1413934831977</c:v>
                </c:pt>
                <c:pt idx="47">
                  <c:v>45.9341188966855</c:v>
                </c:pt>
                <c:pt idx="48">
                  <c:v>48.8947164036984</c:v>
                </c:pt>
                <c:pt idx="49">
                  <c:v>52.0747391804886</c:v>
                </c:pt>
                <c:pt idx="50">
                  <c:v>56.7614657067326</c:v>
                </c:pt>
                <c:pt idx="51">
                  <c:v>60.4848484198831</c:v>
                </c:pt>
                <c:pt idx="52">
                  <c:v>65.9284847776726</c:v>
                </c:pt>
                <c:pt idx="53">
                  <c:v>70.2884269096851</c:v>
                </c:pt>
                <c:pt idx="54">
                  <c:v>74.9726485030235</c:v>
                </c:pt>
                <c:pt idx="55">
                  <c:v>81.7201868682956</c:v>
                </c:pt>
                <c:pt idx="56">
                  <c:v>87.2062973153979</c:v>
                </c:pt>
                <c:pt idx="57">
                  <c:v>93.1016819352814</c:v>
                </c:pt>
                <c:pt idx="58">
                  <c:v>101.480833309457</c:v>
                </c:pt>
                <c:pt idx="59">
                  <c:v>108.386978609845</c:v>
                </c:pt>
                <c:pt idx="60">
                  <c:v>115.810060500164</c:v>
                </c:pt>
                <c:pt idx="61">
                  <c:v>126.232965945179</c:v>
                </c:pt>
                <c:pt idx="62">
                  <c:v>134.930824501918</c:v>
                </c:pt>
                <c:pt idx="63">
                  <c:v>144.282043035437</c:v>
                </c:pt>
                <c:pt idx="64">
                  <c:v>157.267426908626</c:v>
                </c:pt>
                <c:pt idx="65">
                  <c:v>168.22730597642</c:v>
                </c:pt>
                <c:pt idx="66">
                  <c:v>183.367763514298</c:v>
                </c:pt>
                <c:pt idx="67">
                  <c:v>196.214687921488</c:v>
                </c:pt>
                <c:pt idx="68">
                  <c:v>210.031961753564</c:v>
                </c:pt>
                <c:pt idx="69">
                  <c:v>228.934838311385</c:v>
                </c:pt>
                <c:pt idx="70">
                  <c:v>245.135344810715</c:v>
                </c:pt>
                <c:pt idx="71">
                  <c:v>262.564042736563</c:v>
                </c:pt>
                <c:pt idx="72">
                  <c:v>286.194806582854</c:v>
                </c:pt>
                <c:pt idx="73">
                  <c:v>306.63496975755</c:v>
                </c:pt>
                <c:pt idx="74">
                  <c:v>328.630461442951</c:v>
                </c:pt>
                <c:pt idx="75">
                  <c:v>358.207202972817</c:v>
                </c:pt>
                <c:pt idx="76">
                  <c:v>384.009930615529</c:v>
                </c:pt>
                <c:pt idx="77">
                  <c:v>411.783189381128</c:v>
                </c:pt>
                <c:pt idx="78">
                  <c:v>448.84367642543</c:v>
                </c:pt>
                <c:pt idx="79">
                  <c:v>481.432592293553</c:v>
                </c:pt>
                <c:pt idx="80">
                  <c:v>524.761525599973</c:v>
                </c:pt>
                <c:pt idx="81">
                  <c:v>563.005925790295</c:v>
                </c:pt>
                <c:pt idx="82">
                  <c:v>604.186616960215</c:v>
                </c:pt>
                <c:pt idx="83">
                  <c:v>658.563412486634</c:v>
                </c:pt>
                <c:pt idx="84">
                  <c:v>706.90263555545</c:v>
                </c:pt>
                <c:pt idx="85">
                  <c:v>758.966014664109</c:v>
                </c:pt>
                <c:pt idx="86">
                  <c:v>827.272955983879</c:v>
                </c:pt>
                <c:pt idx="87">
                  <c:v>888.401499529485</c:v>
                </c:pt>
                <c:pt idx="88">
                  <c:v>954.255338839268</c:v>
                </c:pt>
                <c:pt idx="89">
                  <c:v>1040.1383193348</c:v>
                </c:pt>
                <c:pt idx="90">
                  <c:v>1117.47683360496</c:v>
                </c:pt>
                <c:pt idx="91">
                  <c:v>1218.04974862941</c:v>
                </c:pt>
                <c:pt idx="92">
                  <c:v>1308.88638318521</c:v>
                </c:pt>
                <c:pt idx="93">
                  <c:v>1406.77890896018</c:v>
                </c:pt>
                <c:pt idx="94">
                  <c:v>1533.3890107666</c:v>
                </c:pt>
                <c:pt idx="95">
                  <c:v>1648.39318657409</c:v>
                </c:pt>
                <c:pt idx="96">
                  <c:v>1772.35832123862</c:v>
                </c:pt>
                <c:pt idx="97">
                  <c:v>1931.8705701501</c:v>
                </c:pt>
                <c:pt idx="98">
                  <c:v>2077.53706090829</c:v>
                </c:pt>
                <c:pt idx="99">
                  <c:v>2234.58788013819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028218"/>
        <c:axId val="6081213"/>
      </c:lineChart>
      <c:catAx>
        <c:axId val="82028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웨이브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1213"/>
        <c:crosses val="autoZero"/>
        <c:auto val="1"/>
        <c:lblAlgn val="ctr"/>
        <c:lblOffset val="100"/>
        <c:noMultiLvlLbl val="0"/>
      </c:catAx>
      <c:valAx>
        <c:axId val="6081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28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적 총체력 vs 누적 코인 (성장 격차)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웨이브시뮬레이션!C1</c:f>
              <c:strCache>
                <c:ptCount val="1"/>
                <c:pt idx="0">
                  <c:v>웨이브 총체력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웨이브시뮬레이션!$A$2:$A$101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웨이브시뮬레이션!$C$2:$C$101</c:f>
              <c:numCache>
                <c:formatCode>#,##0</c:formatCode>
                <c:ptCount val="100"/>
                <c:pt idx="0">
                  <c:v>100</c:v>
                </c:pt>
                <c:pt idx="1">
                  <c:v>109</c:v>
                </c:pt>
                <c:pt idx="2">
                  <c:v>118.81</c:v>
                </c:pt>
                <c:pt idx="3">
                  <c:v>129.5029</c:v>
                </c:pt>
                <c:pt idx="4">
                  <c:v>141.158161</c:v>
                </c:pt>
                <c:pt idx="5">
                  <c:v>153.86239549</c:v>
                </c:pt>
                <c:pt idx="6">
                  <c:v>167.7100110841</c:v>
                </c:pt>
                <c:pt idx="7">
                  <c:v>182.803912081669</c:v>
                </c:pt>
                <c:pt idx="8">
                  <c:v>199.256264169019</c:v>
                </c:pt>
                <c:pt idx="9">
                  <c:v>217.189327944231</c:v>
                </c:pt>
                <c:pt idx="10">
                  <c:v>236.736367459212</c:v>
                </c:pt>
                <c:pt idx="11">
                  <c:v>258.042640530541</c:v>
                </c:pt>
                <c:pt idx="12">
                  <c:v>281.26647817829</c:v>
                </c:pt>
                <c:pt idx="13">
                  <c:v>306.580461214336</c:v>
                </c:pt>
                <c:pt idx="14">
                  <c:v>334.172702723626</c:v>
                </c:pt>
                <c:pt idx="15">
                  <c:v>364.248245968752</c:v>
                </c:pt>
                <c:pt idx="16">
                  <c:v>397.03058810594</c:v>
                </c:pt>
                <c:pt idx="17">
                  <c:v>432.763341035475</c:v>
                </c:pt>
                <c:pt idx="18">
                  <c:v>471.712041728668</c:v>
                </c:pt>
                <c:pt idx="19">
                  <c:v>514.166125484248</c:v>
                </c:pt>
                <c:pt idx="20">
                  <c:v>560.44107677783</c:v>
                </c:pt>
                <c:pt idx="21">
                  <c:v>610.880773687835</c:v>
                </c:pt>
                <c:pt idx="22">
                  <c:v>665.86004331974</c:v>
                </c:pt>
                <c:pt idx="23">
                  <c:v>725.787447218517</c:v>
                </c:pt>
                <c:pt idx="24">
                  <c:v>791.108317468183</c:v>
                </c:pt>
                <c:pt idx="25">
                  <c:v>862.30806604032</c:v>
                </c:pt>
                <c:pt idx="26">
                  <c:v>939.915791983949</c:v>
                </c:pt>
                <c:pt idx="27">
                  <c:v>1024.5082132625</c:v>
                </c:pt>
                <c:pt idx="28">
                  <c:v>1116.71395245613</c:v>
                </c:pt>
                <c:pt idx="29">
                  <c:v>1217.21820817718</c:v>
                </c:pt>
                <c:pt idx="30">
                  <c:v>1326.76784691313</c:v>
                </c:pt>
                <c:pt idx="31">
                  <c:v>1446.17695313531</c:v>
                </c:pt>
                <c:pt idx="32">
                  <c:v>1576.33287891749</c:v>
                </c:pt>
                <c:pt idx="33">
                  <c:v>1718.20283802006</c:v>
                </c:pt>
                <c:pt idx="34">
                  <c:v>1872.84109344187</c:v>
                </c:pt>
                <c:pt idx="35">
                  <c:v>2041.39679185163</c:v>
                </c:pt>
                <c:pt idx="36">
                  <c:v>2225.12250311828</c:v>
                </c:pt>
                <c:pt idx="37">
                  <c:v>2425.38352839893</c:v>
                </c:pt>
                <c:pt idx="38">
                  <c:v>2643.66804595483</c:v>
                </c:pt>
                <c:pt idx="39">
                  <c:v>2881.59817009077</c:v>
                </c:pt>
                <c:pt idx="40">
                  <c:v>3140.94200539894</c:v>
                </c:pt>
                <c:pt idx="41">
                  <c:v>3423.62678588484</c:v>
                </c:pt>
                <c:pt idx="42">
                  <c:v>3731.75319661448</c:v>
                </c:pt>
                <c:pt idx="43">
                  <c:v>4067.61098430978</c:v>
                </c:pt>
                <c:pt idx="44">
                  <c:v>4433.69597289766</c:v>
                </c:pt>
                <c:pt idx="45">
                  <c:v>4832.72861045845</c:v>
                </c:pt>
                <c:pt idx="46">
                  <c:v>5267.67418539971</c:v>
                </c:pt>
                <c:pt idx="47">
                  <c:v>5741.76486208568</c:v>
                </c:pt>
                <c:pt idx="48">
                  <c:v>6258.5236996734</c:v>
                </c:pt>
                <c:pt idx="49">
                  <c:v>6821.790832644</c:v>
                </c:pt>
                <c:pt idx="50">
                  <c:v>7435.75200758196</c:v>
                </c:pt>
                <c:pt idx="51">
                  <c:v>8104.96968826434</c:v>
                </c:pt>
                <c:pt idx="52">
                  <c:v>8834.41696020813</c:v>
                </c:pt>
                <c:pt idx="53">
                  <c:v>9629.51448662686</c:v>
                </c:pt>
                <c:pt idx="54">
                  <c:v>10496.1707904233</c:v>
                </c:pt>
                <c:pt idx="55">
                  <c:v>11440.8261615614</c:v>
                </c:pt>
                <c:pt idx="56">
                  <c:v>12470.5005161019</c:v>
                </c:pt>
                <c:pt idx="57">
                  <c:v>13592.8455625511</c:v>
                </c:pt>
                <c:pt idx="58">
                  <c:v>14816.2016631807</c:v>
                </c:pt>
                <c:pt idx="59">
                  <c:v>16149.6598128669</c:v>
                </c:pt>
                <c:pt idx="60">
                  <c:v>17603.129196025</c:v>
                </c:pt>
                <c:pt idx="61">
                  <c:v>19187.4108236672</c:v>
                </c:pt>
                <c:pt idx="62">
                  <c:v>20914.2777977973</c:v>
                </c:pt>
                <c:pt idx="63">
                  <c:v>22796.562799599</c:v>
                </c:pt>
                <c:pt idx="64">
                  <c:v>24848.2534515629</c:v>
                </c:pt>
                <c:pt idx="65">
                  <c:v>27084.5962622036</c:v>
                </c:pt>
                <c:pt idx="66">
                  <c:v>29522.2099258019</c:v>
                </c:pt>
                <c:pt idx="67">
                  <c:v>32179.2088191241</c:v>
                </c:pt>
                <c:pt idx="68">
                  <c:v>35075.3376128453</c:v>
                </c:pt>
                <c:pt idx="69">
                  <c:v>38232.1179980013</c:v>
                </c:pt>
                <c:pt idx="70">
                  <c:v>41673.0086178215</c:v>
                </c:pt>
                <c:pt idx="71">
                  <c:v>45423.5793934254</c:v>
                </c:pt>
                <c:pt idx="72">
                  <c:v>49511.7015388337</c:v>
                </c:pt>
                <c:pt idx="73">
                  <c:v>53967.7546773287</c:v>
                </c:pt>
                <c:pt idx="74">
                  <c:v>58824.8525982883</c:v>
                </c:pt>
                <c:pt idx="75">
                  <c:v>64119.0893321343</c:v>
                </c:pt>
                <c:pt idx="76">
                  <c:v>69889.8073720264</c:v>
                </c:pt>
                <c:pt idx="77">
                  <c:v>76179.8900355087</c:v>
                </c:pt>
                <c:pt idx="78">
                  <c:v>83036.0801387045</c:v>
                </c:pt>
                <c:pt idx="79">
                  <c:v>90509.327351188</c:v>
                </c:pt>
                <c:pt idx="80">
                  <c:v>98655.1668127949</c:v>
                </c:pt>
                <c:pt idx="81">
                  <c:v>107534.131825946</c:v>
                </c:pt>
                <c:pt idx="82">
                  <c:v>117212.203690282</c:v>
                </c:pt>
                <c:pt idx="83">
                  <c:v>127761.302022407</c:v>
                </c:pt>
                <c:pt idx="84">
                  <c:v>139259.819204424</c:v>
                </c:pt>
                <c:pt idx="85">
                  <c:v>151793.202932822</c:v>
                </c:pt>
                <c:pt idx="86">
                  <c:v>165454.591196776</c:v>
                </c:pt>
                <c:pt idx="87">
                  <c:v>180345.504404486</c:v>
                </c:pt>
                <c:pt idx="88">
                  <c:v>196576.599800889</c:v>
                </c:pt>
                <c:pt idx="89">
                  <c:v>214268.493782969</c:v>
                </c:pt>
                <c:pt idx="90">
                  <c:v>233552.658223437</c:v>
                </c:pt>
                <c:pt idx="91">
                  <c:v>254572.397463546</c:v>
                </c:pt>
                <c:pt idx="92">
                  <c:v>277483.913235265</c:v>
                </c:pt>
                <c:pt idx="93">
                  <c:v>302457.465426439</c:v>
                </c:pt>
                <c:pt idx="94">
                  <c:v>329678.637314818</c:v>
                </c:pt>
                <c:pt idx="95">
                  <c:v>359349.714673152</c:v>
                </c:pt>
                <c:pt idx="96">
                  <c:v>391691.188993736</c:v>
                </c:pt>
                <c:pt idx="97">
                  <c:v>426943.396003172</c:v>
                </c:pt>
                <c:pt idx="98">
                  <c:v>465368.301643458</c:v>
                </c:pt>
                <c:pt idx="99">
                  <c:v>507251.448791369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웨이브시뮬레이션!E1</c:f>
              <c:strCache>
                <c:ptCount val="1"/>
                <c:pt idx="0">
                  <c:v>누적 코인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웨이브시뮬레이션!$A$2:$A$101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웨이브시뮬레이션!$E$2:$E$101</c:f>
              <c:numCache>
                <c:formatCode>#,##0</c:formatCode>
                <c:ptCount val="100"/>
                <c:pt idx="0">
                  <c:v>20</c:v>
                </c:pt>
                <c:pt idx="1">
                  <c:v>41.5</c:v>
                </c:pt>
                <c:pt idx="2">
                  <c:v>64.6125</c:v>
                </c:pt>
                <c:pt idx="3">
                  <c:v>89.4584375</c:v>
                </c:pt>
                <c:pt idx="4">
                  <c:v>116.1678203125</c:v>
                </c:pt>
                <c:pt idx="5">
                  <c:v>144.880406835938</c:v>
                </c:pt>
                <c:pt idx="6">
                  <c:v>175.746437348633</c:v>
                </c:pt>
                <c:pt idx="7">
                  <c:v>208.92742014978</c:v>
                </c:pt>
                <c:pt idx="8">
                  <c:v>244.596976661014</c:v>
                </c:pt>
                <c:pt idx="9">
                  <c:v>282.94174991059</c:v>
                </c:pt>
                <c:pt idx="10">
                  <c:v>324.162381153884</c:v>
                </c:pt>
                <c:pt idx="11">
                  <c:v>368.474559740425</c:v>
                </c:pt>
                <c:pt idx="12">
                  <c:v>416.110151720957</c:v>
                </c:pt>
                <c:pt idx="13">
                  <c:v>467.318413100029</c:v>
                </c:pt>
                <c:pt idx="14">
                  <c:v>522.367294082531</c:v>
                </c:pt>
                <c:pt idx="15">
                  <c:v>581.544841138721</c:v>
                </c:pt>
                <c:pt idx="16">
                  <c:v>645.160704224125</c:v>
                </c:pt>
                <c:pt idx="17">
                  <c:v>713.547757040934</c:v>
                </c:pt>
                <c:pt idx="18">
                  <c:v>787.063838819004</c:v>
                </c:pt>
                <c:pt idx="19">
                  <c:v>866.09362673043</c:v>
                </c:pt>
                <c:pt idx="20">
                  <c:v>951.050648735212</c:v>
                </c:pt>
                <c:pt idx="21">
                  <c:v>1042.37944739035</c:v>
                </c:pt>
                <c:pt idx="22">
                  <c:v>1140.55790594463</c:v>
                </c:pt>
                <c:pt idx="23">
                  <c:v>1246.09974889048</c:v>
                </c:pt>
                <c:pt idx="24">
                  <c:v>1359.55723005726</c:v>
                </c:pt>
                <c:pt idx="25">
                  <c:v>1481.52402231156</c:v>
                </c:pt>
                <c:pt idx="26">
                  <c:v>1612.63832398492</c:v>
                </c:pt>
                <c:pt idx="27">
                  <c:v>1753.58619828379</c:v>
                </c:pt>
                <c:pt idx="28">
                  <c:v>1905.10516315508</c:v>
                </c:pt>
                <c:pt idx="29">
                  <c:v>2067.98805039171</c:v>
                </c:pt>
                <c:pt idx="30">
                  <c:v>2243.08715417109</c:v>
                </c:pt>
                <c:pt idx="31">
                  <c:v>2431.31869073392</c:v>
                </c:pt>
                <c:pt idx="32">
                  <c:v>2633.66759253896</c:v>
                </c:pt>
                <c:pt idx="33">
                  <c:v>2851.19266197938</c:v>
                </c:pt>
                <c:pt idx="34">
                  <c:v>3085.03211162784</c:v>
                </c:pt>
                <c:pt idx="35">
                  <c:v>3336.40951999992</c:v>
                </c:pt>
                <c:pt idx="36">
                  <c:v>3606.64023399992</c:v>
                </c:pt>
                <c:pt idx="37">
                  <c:v>3897.13825154991</c:v>
                </c:pt>
                <c:pt idx="38">
                  <c:v>4209.42362041615</c:v>
                </c:pt>
                <c:pt idx="39">
                  <c:v>4545.13039194737</c:v>
                </c:pt>
                <c:pt idx="40">
                  <c:v>4906.01517134342</c:v>
                </c:pt>
                <c:pt idx="41">
                  <c:v>5293.96630919417</c:v>
                </c:pt>
                <c:pt idx="42">
                  <c:v>5711.01378238374</c:v>
                </c:pt>
                <c:pt idx="43">
                  <c:v>6159.33981606252</c:v>
                </c:pt>
                <c:pt idx="44">
                  <c:v>6641.2903022672</c:v>
                </c:pt>
                <c:pt idx="45">
                  <c:v>7159.38707493724</c:v>
                </c:pt>
                <c:pt idx="46">
                  <c:v>7716.34110555754</c:v>
                </c:pt>
                <c:pt idx="47">
                  <c:v>8315.06668847435</c:v>
                </c:pt>
                <c:pt idx="48">
                  <c:v>8958.69669010993</c:v>
                </c:pt>
                <c:pt idx="49">
                  <c:v>9650.59894186817</c:v>
                </c:pt>
                <c:pt idx="50">
                  <c:v>10394.3938625083</c:v>
                </c:pt>
                <c:pt idx="51">
                  <c:v>11193.9734021964</c:v>
                </c:pt>
                <c:pt idx="52">
                  <c:v>12053.5214073611</c:v>
                </c:pt>
                <c:pt idx="53">
                  <c:v>12977.5355129132</c:v>
                </c:pt>
                <c:pt idx="54">
                  <c:v>13970.8506763817</c:v>
                </c:pt>
                <c:pt idx="55">
                  <c:v>15038.6644771103</c:v>
                </c:pt>
                <c:pt idx="56">
                  <c:v>16186.5643128936</c:v>
                </c:pt>
                <c:pt idx="57">
                  <c:v>17420.5566363606</c:v>
                </c:pt>
                <c:pt idx="58">
                  <c:v>18747.0983840877</c:v>
                </c:pt>
                <c:pt idx="59">
                  <c:v>20173.1307628943</c:v>
                </c:pt>
                <c:pt idx="60">
                  <c:v>21706.1155701113</c:v>
                </c:pt>
                <c:pt idx="61">
                  <c:v>23354.0742378697</c:v>
                </c:pt>
                <c:pt idx="62">
                  <c:v>25125.6298057099</c:v>
                </c:pt>
                <c:pt idx="63">
                  <c:v>27030.0520411381</c:v>
                </c:pt>
                <c:pt idx="64">
                  <c:v>29077.3059442235</c:v>
                </c:pt>
                <c:pt idx="65">
                  <c:v>31278.1038900403</c:v>
                </c:pt>
                <c:pt idx="66">
                  <c:v>33643.9616817933</c:v>
                </c:pt>
                <c:pt idx="67">
                  <c:v>36187.2588079278</c:v>
                </c:pt>
                <c:pt idx="68">
                  <c:v>38921.3032185224</c:v>
                </c:pt>
                <c:pt idx="69">
                  <c:v>41860.4009599115</c:v>
                </c:pt>
                <c:pt idx="70">
                  <c:v>45019.9310319049</c:v>
                </c:pt>
                <c:pt idx="71">
                  <c:v>48416.4258592978</c:v>
                </c:pt>
                <c:pt idx="72">
                  <c:v>52067.6577987451</c:v>
                </c:pt>
                <c:pt idx="73">
                  <c:v>55992.732133651</c:v>
                </c:pt>
                <c:pt idx="74">
                  <c:v>60212.1870436748</c:v>
                </c:pt>
                <c:pt idx="75">
                  <c:v>64748.1010719504</c:v>
                </c:pt>
                <c:pt idx="76">
                  <c:v>69624.2086523467</c:v>
                </c:pt>
                <c:pt idx="77">
                  <c:v>74866.0243012727</c:v>
                </c:pt>
                <c:pt idx="78">
                  <c:v>80500.9761238681</c:v>
                </c:pt>
                <c:pt idx="79">
                  <c:v>86558.5493331582</c:v>
                </c:pt>
                <c:pt idx="80">
                  <c:v>93070.4405331451</c:v>
                </c:pt>
                <c:pt idx="81">
                  <c:v>100070.723573131</c:v>
                </c:pt>
                <c:pt idx="82">
                  <c:v>107596.027841116</c:v>
                </c:pt>
                <c:pt idx="83">
                  <c:v>115685.729929199</c:v>
                </c:pt>
                <c:pt idx="84">
                  <c:v>124382.159673889</c:v>
                </c:pt>
                <c:pt idx="85">
                  <c:v>133730.821649431</c:v>
                </c:pt>
                <c:pt idx="86">
                  <c:v>143780.633273138</c:v>
                </c:pt>
                <c:pt idx="87">
                  <c:v>154584.180768624</c:v>
                </c:pt>
                <c:pt idx="88">
                  <c:v>166197.994326271</c:v>
                </c:pt>
                <c:pt idx="89">
                  <c:v>178682.843900741</c:v>
                </c:pt>
                <c:pt idx="90">
                  <c:v>192104.057193296</c:v>
                </c:pt>
                <c:pt idx="91">
                  <c:v>206531.861482794</c:v>
                </c:pt>
                <c:pt idx="92">
                  <c:v>222041.751094003</c:v>
                </c:pt>
                <c:pt idx="93">
                  <c:v>238714.882426053</c:v>
                </c:pt>
                <c:pt idx="94">
                  <c:v>256638.498608007</c:v>
                </c:pt>
                <c:pt idx="95">
                  <c:v>275906.386003608</c:v>
                </c:pt>
                <c:pt idx="96">
                  <c:v>296619.364953879</c:v>
                </c:pt>
                <c:pt idx="97">
                  <c:v>318885.817325419</c:v>
                </c:pt>
                <c:pt idx="98">
                  <c:v>342822.253624826</c:v>
                </c:pt>
                <c:pt idx="99">
                  <c:v>368553.922646688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685383"/>
        <c:axId val="67590431"/>
      </c:lineChart>
      <c:catAx>
        <c:axId val="15685383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90431"/>
        <c:crosses val="autoZero"/>
        <c:auto val="1"/>
        <c:lblAlgn val="ctr"/>
        <c:lblOffset val="100"/>
        <c:noMultiLvlLbl val="0"/>
      </c:catAx>
      <c:valAx>
        <c:axId val="6759043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85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회차별 도달 웨이브 (90일 = 270회차)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환생메타!B1</c:f>
              <c:strCache>
                <c:ptCount val="1"/>
                <c:pt idx="0">
                  <c:v>도달 웨이브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환생메타!$A$2:$A$301</c:f>
              <c:strCach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strCache>
            </c:strRef>
          </c:cat>
          <c:val>
            <c:numRef>
              <c:f>환생메타!$B$2:$B$301</c:f>
              <c:numCache>
                <c:formatCode>0</c:formatCode>
                <c:ptCount val="300"/>
                <c:pt idx="0">
                  <c:v>45</c:v>
                </c:pt>
                <c:pt idx="1">
                  <c:v>51</c:v>
                </c:pt>
                <c:pt idx="2">
                  <c:v>55</c:v>
                </c:pt>
                <c:pt idx="3">
                  <c:v>58</c:v>
                </c:pt>
                <c:pt idx="4">
                  <c:v>61</c:v>
                </c:pt>
                <c:pt idx="5">
                  <c:v>64</c:v>
                </c:pt>
                <c:pt idx="6">
                  <c:v>66</c:v>
                </c:pt>
                <c:pt idx="7">
                  <c:v>68</c:v>
                </c:pt>
                <c:pt idx="8">
                  <c:v>70</c:v>
                </c:pt>
                <c:pt idx="9">
                  <c:v>72</c:v>
                </c:pt>
                <c:pt idx="10">
                  <c:v>74</c:v>
                </c:pt>
                <c:pt idx="11">
                  <c:v>75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81</c:v>
                </c:pt>
                <c:pt idx="16">
                  <c:v>82</c:v>
                </c:pt>
                <c:pt idx="17">
                  <c:v>83</c:v>
                </c:pt>
                <c:pt idx="18">
                  <c:v>84</c:v>
                </c:pt>
                <c:pt idx="19">
                  <c:v>86</c:v>
                </c:pt>
                <c:pt idx="20">
                  <c:v>87</c:v>
                </c:pt>
                <c:pt idx="21">
                  <c:v>88</c:v>
                </c:pt>
                <c:pt idx="22">
                  <c:v>89</c:v>
                </c:pt>
                <c:pt idx="23">
                  <c:v>90</c:v>
                </c:pt>
                <c:pt idx="24">
                  <c:v>91</c:v>
                </c:pt>
                <c:pt idx="25">
                  <c:v>91</c:v>
                </c:pt>
                <c:pt idx="26">
                  <c:v>92</c:v>
                </c:pt>
                <c:pt idx="27">
                  <c:v>93</c:v>
                </c:pt>
                <c:pt idx="28">
                  <c:v>94</c:v>
                </c:pt>
                <c:pt idx="29">
                  <c:v>95</c:v>
                </c:pt>
                <c:pt idx="30">
                  <c:v>96</c:v>
                </c:pt>
                <c:pt idx="31">
                  <c:v>97</c:v>
                </c:pt>
                <c:pt idx="32">
                  <c:v>97</c:v>
                </c:pt>
                <c:pt idx="33">
                  <c:v>98</c:v>
                </c:pt>
                <c:pt idx="34">
                  <c:v>99</c:v>
                </c:pt>
                <c:pt idx="35">
                  <c:v>100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102</c:v>
                </c:pt>
                <c:pt idx="40">
                  <c:v>103</c:v>
                </c:pt>
                <c:pt idx="41">
                  <c:v>104</c:v>
                </c:pt>
                <c:pt idx="42">
                  <c:v>104</c:v>
                </c:pt>
                <c:pt idx="43">
                  <c:v>105</c:v>
                </c:pt>
                <c:pt idx="44">
                  <c:v>106</c:v>
                </c:pt>
                <c:pt idx="45">
                  <c:v>106</c:v>
                </c:pt>
                <c:pt idx="46">
                  <c:v>107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109</c:v>
                </c:pt>
                <c:pt idx="51">
                  <c:v>110</c:v>
                </c:pt>
                <c:pt idx="52">
                  <c:v>110</c:v>
                </c:pt>
                <c:pt idx="53">
                  <c:v>111</c:v>
                </c:pt>
                <c:pt idx="54">
                  <c:v>111</c:v>
                </c:pt>
                <c:pt idx="55">
                  <c:v>112</c:v>
                </c:pt>
                <c:pt idx="56">
                  <c:v>112</c:v>
                </c:pt>
                <c:pt idx="57">
                  <c:v>113</c:v>
                </c:pt>
                <c:pt idx="58">
                  <c:v>113</c:v>
                </c:pt>
                <c:pt idx="59">
                  <c:v>114</c:v>
                </c:pt>
                <c:pt idx="60">
                  <c:v>114</c:v>
                </c:pt>
                <c:pt idx="61">
                  <c:v>115</c:v>
                </c:pt>
                <c:pt idx="62">
                  <c:v>115</c:v>
                </c:pt>
                <c:pt idx="63">
                  <c:v>116</c:v>
                </c:pt>
                <c:pt idx="64">
                  <c:v>116</c:v>
                </c:pt>
                <c:pt idx="65">
                  <c:v>117</c:v>
                </c:pt>
                <c:pt idx="66">
                  <c:v>117</c:v>
                </c:pt>
                <c:pt idx="67">
                  <c:v>118</c:v>
                </c:pt>
                <c:pt idx="68">
                  <c:v>118</c:v>
                </c:pt>
                <c:pt idx="69">
                  <c:v>119</c:v>
                </c:pt>
                <c:pt idx="70">
                  <c:v>119</c:v>
                </c:pt>
                <c:pt idx="71">
                  <c:v>120</c:v>
                </c:pt>
                <c:pt idx="72">
                  <c:v>120</c:v>
                </c:pt>
                <c:pt idx="73">
                  <c:v>120</c:v>
                </c:pt>
                <c:pt idx="74">
                  <c:v>121</c:v>
                </c:pt>
                <c:pt idx="75">
                  <c:v>121</c:v>
                </c:pt>
                <c:pt idx="76">
                  <c:v>122</c:v>
                </c:pt>
                <c:pt idx="77">
                  <c:v>122</c:v>
                </c:pt>
                <c:pt idx="78">
                  <c:v>123</c:v>
                </c:pt>
                <c:pt idx="79">
                  <c:v>123</c:v>
                </c:pt>
                <c:pt idx="80">
                  <c:v>123</c:v>
                </c:pt>
                <c:pt idx="81">
                  <c:v>124</c:v>
                </c:pt>
                <c:pt idx="82">
                  <c:v>124</c:v>
                </c:pt>
                <c:pt idx="83">
                  <c:v>125</c:v>
                </c:pt>
                <c:pt idx="84">
                  <c:v>125</c:v>
                </c:pt>
                <c:pt idx="85">
                  <c:v>125</c:v>
                </c:pt>
                <c:pt idx="86">
                  <c:v>126</c:v>
                </c:pt>
                <c:pt idx="87">
                  <c:v>126</c:v>
                </c:pt>
                <c:pt idx="88">
                  <c:v>126</c:v>
                </c:pt>
                <c:pt idx="89">
                  <c:v>127</c:v>
                </c:pt>
                <c:pt idx="90">
                  <c:v>127</c:v>
                </c:pt>
                <c:pt idx="91">
                  <c:v>128</c:v>
                </c:pt>
                <c:pt idx="92">
                  <c:v>128</c:v>
                </c:pt>
                <c:pt idx="93">
                  <c:v>128</c:v>
                </c:pt>
                <c:pt idx="94">
                  <c:v>129</c:v>
                </c:pt>
                <c:pt idx="95">
                  <c:v>129</c:v>
                </c:pt>
                <c:pt idx="96">
                  <c:v>129</c:v>
                </c:pt>
                <c:pt idx="97">
                  <c:v>130</c:v>
                </c:pt>
                <c:pt idx="98">
                  <c:v>130</c:v>
                </c:pt>
                <c:pt idx="99">
                  <c:v>130</c:v>
                </c:pt>
                <c:pt idx="100">
                  <c:v>131</c:v>
                </c:pt>
                <c:pt idx="101">
                  <c:v>131</c:v>
                </c:pt>
                <c:pt idx="102">
                  <c:v>131</c:v>
                </c:pt>
                <c:pt idx="103">
                  <c:v>132</c:v>
                </c:pt>
                <c:pt idx="104">
                  <c:v>132</c:v>
                </c:pt>
                <c:pt idx="105">
                  <c:v>133</c:v>
                </c:pt>
                <c:pt idx="106">
                  <c:v>133</c:v>
                </c:pt>
                <c:pt idx="107">
                  <c:v>133</c:v>
                </c:pt>
                <c:pt idx="108">
                  <c:v>133</c:v>
                </c:pt>
                <c:pt idx="109">
                  <c:v>134</c:v>
                </c:pt>
                <c:pt idx="110">
                  <c:v>134</c:v>
                </c:pt>
                <c:pt idx="111">
                  <c:v>134</c:v>
                </c:pt>
                <c:pt idx="112">
                  <c:v>135</c:v>
                </c:pt>
                <c:pt idx="113">
                  <c:v>135</c:v>
                </c:pt>
                <c:pt idx="114">
                  <c:v>135</c:v>
                </c:pt>
                <c:pt idx="115">
                  <c:v>136</c:v>
                </c:pt>
                <c:pt idx="116">
                  <c:v>136</c:v>
                </c:pt>
                <c:pt idx="117">
                  <c:v>136</c:v>
                </c:pt>
                <c:pt idx="118">
                  <c:v>137</c:v>
                </c:pt>
                <c:pt idx="119">
                  <c:v>137</c:v>
                </c:pt>
                <c:pt idx="120">
                  <c:v>137</c:v>
                </c:pt>
                <c:pt idx="121">
                  <c:v>138</c:v>
                </c:pt>
                <c:pt idx="122">
                  <c:v>138</c:v>
                </c:pt>
                <c:pt idx="123">
                  <c:v>138</c:v>
                </c:pt>
                <c:pt idx="124">
                  <c:v>138</c:v>
                </c:pt>
                <c:pt idx="125">
                  <c:v>139</c:v>
                </c:pt>
                <c:pt idx="126">
                  <c:v>139</c:v>
                </c:pt>
                <c:pt idx="127">
                  <c:v>139</c:v>
                </c:pt>
                <c:pt idx="128">
                  <c:v>140</c:v>
                </c:pt>
                <c:pt idx="129">
                  <c:v>140</c:v>
                </c:pt>
                <c:pt idx="130">
                  <c:v>140</c:v>
                </c:pt>
                <c:pt idx="131">
                  <c:v>140</c:v>
                </c:pt>
                <c:pt idx="132">
                  <c:v>141</c:v>
                </c:pt>
                <c:pt idx="133">
                  <c:v>141</c:v>
                </c:pt>
                <c:pt idx="134">
                  <c:v>141</c:v>
                </c:pt>
                <c:pt idx="135">
                  <c:v>142</c:v>
                </c:pt>
                <c:pt idx="136">
                  <c:v>142</c:v>
                </c:pt>
                <c:pt idx="137">
                  <c:v>142</c:v>
                </c:pt>
                <c:pt idx="138">
                  <c:v>142</c:v>
                </c:pt>
                <c:pt idx="139">
                  <c:v>143</c:v>
                </c:pt>
                <c:pt idx="140">
                  <c:v>143</c:v>
                </c:pt>
                <c:pt idx="141">
                  <c:v>143</c:v>
                </c:pt>
                <c:pt idx="142">
                  <c:v>144</c:v>
                </c:pt>
                <c:pt idx="143">
                  <c:v>144</c:v>
                </c:pt>
                <c:pt idx="144">
                  <c:v>144</c:v>
                </c:pt>
                <c:pt idx="145">
                  <c:v>144</c:v>
                </c:pt>
                <c:pt idx="146">
                  <c:v>145</c:v>
                </c:pt>
                <c:pt idx="147">
                  <c:v>145</c:v>
                </c:pt>
                <c:pt idx="148">
                  <c:v>145</c:v>
                </c:pt>
                <c:pt idx="149">
                  <c:v>145</c:v>
                </c:pt>
                <c:pt idx="150">
                  <c:v>146</c:v>
                </c:pt>
                <c:pt idx="151">
                  <c:v>146</c:v>
                </c:pt>
                <c:pt idx="152">
                  <c:v>146</c:v>
                </c:pt>
                <c:pt idx="153">
                  <c:v>146</c:v>
                </c:pt>
                <c:pt idx="154">
                  <c:v>147</c:v>
                </c:pt>
                <c:pt idx="155">
                  <c:v>147</c:v>
                </c:pt>
                <c:pt idx="156">
                  <c:v>147</c:v>
                </c:pt>
                <c:pt idx="157">
                  <c:v>147</c:v>
                </c:pt>
                <c:pt idx="158">
                  <c:v>148</c:v>
                </c:pt>
                <c:pt idx="159">
                  <c:v>148</c:v>
                </c:pt>
                <c:pt idx="160">
                  <c:v>148</c:v>
                </c:pt>
                <c:pt idx="161">
                  <c:v>148</c:v>
                </c:pt>
                <c:pt idx="162">
                  <c:v>149</c:v>
                </c:pt>
                <c:pt idx="163">
                  <c:v>149</c:v>
                </c:pt>
                <c:pt idx="164">
                  <c:v>149</c:v>
                </c:pt>
                <c:pt idx="165">
                  <c:v>149</c:v>
                </c:pt>
                <c:pt idx="166">
                  <c:v>150</c:v>
                </c:pt>
                <c:pt idx="167">
                  <c:v>150</c:v>
                </c:pt>
                <c:pt idx="168">
                  <c:v>150</c:v>
                </c:pt>
                <c:pt idx="169">
                  <c:v>150</c:v>
                </c:pt>
                <c:pt idx="170">
                  <c:v>151</c:v>
                </c:pt>
                <c:pt idx="171">
                  <c:v>151</c:v>
                </c:pt>
                <c:pt idx="172">
                  <c:v>151</c:v>
                </c:pt>
                <c:pt idx="173">
                  <c:v>151</c:v>
                </c:pt>
                <c:pt idx="174">
                  <c:v>151</c:v>
                </c:pt>
                <c:pt idx="175">
                  <c:v>152</c:v>
                </c:pt>
                <c:pt idx="176">
                  <c:v>152</c:v>
                </c:pt>
                <c:pt idx="177">
                  <c:v>152</c:v>
                </c:pt>
                <c:pt idx="178">
                  <c:v>152</c:v>
                </c:pt>
                <c:pt idx="179">
                  <c:v>153</c:v>
                </c:pt>
                <c:pt idx="180">
                  <c:v>153</c:v>
                </c:pt>
                <c:pt idx="181">
                  <c:v>153</c:v>
                </c:pt>
                <c:pt idx="182">
                  <c:v>153</c:v>
                </c:pt>
                <c:pt idx="183">
                  <c:v>154</c:v>
                </c:pt>
                <c:pt idx="184">
                  <c:v>154</c:v>
                </c:pt>
                <c:pt idx="185">
                  <c:v>154</c:v>
                </c:pt>
                <c:pt idx="186">
                  <c:v>154</c:v>
                </c:pt>
                <c:pt idx="187">
                  <c:v>154</c:v>
                </c:pt>
                <c:pt idx="188">
                  <c:v>155</c:v>
                </c:pt>
                <c:pt idx="189">
                  <c:v>155</c:v>
                </c:pt>
                <c:pt idx="190">
                  <c:v>155</c:v>
                </c:pt>
                <c:pt idx="191">
                  <c:v>155</c:v>
                </c:pt>
                <c:pt idx="192">
                  <c:v>156</c:v>
                </c:pt>
                <c:pt idx="193">
                  <c:v>156</c:v>
                </c:pt>
                <c:pt idx="194">
                  <c:v>156</c:v>
                </c:pt>
                <c:pt idx="195">
                  <c:v>156</c:v>
                </c:pt>
                <c:pt idx="196">
                  <c:v>156</c:v>
                </c:pt>
                <c:pt idx="197">
                  <c:v>157</c:v>
                </c:pt>
                <c:pt idx="198">
                  <c:v>157</c:v>
                </c:pt>
                <c:pt idx="199">
                  <c:v>157</c:v>
                </c:pt>
                <c:pt idx="200">
                  <c:v>157</c:v>
                </c:pt>
                <c:pt idx="201">
                  <c:v>157</c:v>
                </c:pt>
                <c:pt idx="202">
                  <c:v>158</c:v>
                </c:pt>
                <c:pt idx="203">
                  <c:v>158</c:v>
                </c:pt>
                <c:pt idx="204">
                  <c:v>158</c:v>
                </c:pt>
                <c:pt idx="205">
                  <c:v>158</c:v>
                </c:pt>
                <c:pt idx="206">
                  <c:v>158</c:v>
                </c:pt>
                <c:pt idx="207">
                  <c:v>159</c:v>
                </c:pt>
                <c:pt idx="208">
                  <c:v>159</c:v>
                </c:pt>
                <c:pt idx="209">
                  <c:v>159</c:v>
                </c:pt>
                <c:pt idx="210">
                  <c:v>159</c:v>
                </c:pt>
                <c:pt idx="211">
                  <c:v>159</c:v>
                </c:pt>
                <c:pt idx="212">
                  <c:v>160</c:v>
                </c:pt>
                <c:pt idx="213">
                  <c:v>160</c:v>
                </c:pt>
                <c:pt idx="214">
                  <c:v>160</c:v>
                </c:pt>
                <c:pt idx="215">
                  <c:v>160</c:v>
                </c:pt>
                <c:pt idx="216">
                  <c:v>160</c:v>
                </c:pt>
                <c:pt idx="217">
                  <c:v>161</c:v>
                </c:pt>
                <c:pt idx="218">
                  <c:v>161</c:v>
                </c:pt>
                <c:pt idx="219">
                  <c:v>161</c:v>
                </c:pt>
                <c:pt idx="220">
                  <c:v>161</c:v>
                </c:pt>
                <c:pt idx="221">
                  <c:v>161</c:v>
                </c:pt>
                <c:pt idx="222">
                  <c:v>162</c:v>
                </c:pt>
                <c:pt idx="223">
                  <c:v>162</c:v>
                </c:pt>
                <c:pt idx="224">
                  <c:v>162</c:v>
                </c:pt>
                <c:pt idx="225">
                  <c:v>162</c:v>
                </c:pt>
                <c:pt idx="226">
                  <c:v>162</c:v>
                </c:pt>
                <c:pt idx="227">
                  <c:v>163</c:v>
                </c:pt>
                <c:pt idx="228">
                  <c:v>163</c:v>
                </c:pt>
                <c:pt idx="229">
                  <c:v>163</c:v>
                </c:pt>
                <c:pt idx="230">
                  <c:v>163</c:v>
                </c:pt>
                <c:pt idx="231">
                  <c:v>163</c:v>
                </c:pt>
                <c:pt idx="232">
                  <c:v>164</c:v>
                </c:pt>
                <c:pt idx="233">
                  <c:v>164</c:v>
                </c:pt>
                <c:pt idx="234">
                  <c:v>164</c:v>
                </c:pt>
                <c:pt idx="235">
                  <c:v>164</c:v>
                </c:pt>
                <c:pt idx="236">
                  <c:v>164</c:v>
                </c:pt>
                <c:pt idx="237">
                  <c:v>164</c:v>
                </c:pt>
                <c:pt idx="238">
                  <c:v>165</c:v>
                </c:pt>
                <c:pt idx="239">
                  <c:v>165</c:v>
                </c:pt>
                <c:pt idx="240">
                  <c:v>165</c:v>
                </c:pt>
                <c:pt idx="241">
                  <c:v>165</c:v>
                </c:pt>
                <c:pt idx="242">
                  <c:v>165</c:v>
                </c:pt>
                <c:pt idx="243">
                  <c:v>166</c:v>
                </c:pt>
                <c:pt idx="244">
                  <c:v>166</c:v>
                </c:pt>
                <c:pt idx="245">
                  <c:v>166</c:v>
                </c:pt>
                <c:pt idx="246">
                  <c:v>166</c:v>
                </c:pt>
                <c:pt idx="247">
                  <c:v>166</c:v>
                </c:pt>
                <c:pt idx="248">
                  <c:v>166</c:v>
                </c:pt>
                <c:pt idx="249">
                  <c:v>167</c:v>
                </c:pt>
                <c:pt idx="250">
                  <c:v>167</c:v>
                </c:pt>
                <c:pt idx="251">
                  <c:v>167</c:v>
                </c:pt>
                <c:pt idx="252">
                  <c:v>167</c:v>
                </c:pt>
                <c:pt idx="253">
                  <c:v>167</c:v>
                </c:pt>
                <c:pt idx="254">
                  <c:v>168</c:v>
                </c:pt>
                <c:pt idx="255">
                  <c:v>168</c:v>
                </c:pt>
                <c:pt idx="256">
                  <c:v>168</c:v>
                </c:pt>
                <c:pt idx="257">
                  <c:v>168</c:v>
                </c:pt>
                <c:pt idx="258">
                  <c:v>168</c:v>
                </c:pt>
                <c:pt idx="259">
                  <c:v>168</c:v>
                </c:pt>
                <c:pt idx="260">
                  <c:v>169</c:v>
                </c:pt>
                <c:pt idx="261">
                  <c:v>169</c:v>
                </c:pt>
                <c:pt idx="262">
                  <c:v>169</c:v>
                </c:pt>
                <c:pt idx="263">
                  <c:v>169</c:v>
                </c:pt>
                <c:pt idx="264">
                  <c:v>169</c:v>
                </c:pt>
                <c:pt idx="265">
                  <c:v>169</c:v>
                </c:pt>
                <c:pt idx="266">
                  <c:v>170</c:v>
                </c:pt>
                <c:pt idx="267">
                  <c:v>170</c:v>
                </c:pt>
                <c:pt idx="268">
                  <c:v>170</c:v>
                </c:pt>
                <c:pt idx="269">
                  <c:v>170</c:v>
                </c:pt>
                <c:pt idx="270">
                  <c:v>170</c:v>
                </c:pt>
                <c:pt idx="271">
                  <c:v>170</c:v>
                </c:pt>
                <c:pt idx="272">
                  <c:v>171</c:v>
                </c:pt>
                <c:pt idx="273">
                  <c:v>171</c:v>
                </c:pt>
                <c:pt idx="274">
                  <c:v>171</c:v>
                </c:pt>
                <c:pt idx="275">
                  <c:v>171</c:v>
                </c:pt>
                <c:pt idx="276">
                  <c:v>171</c:v>
                </c:pt>
                <c:pt idx="277">
                  <c:v>171</c:v>
                </c:pt>
                <c:pt idx="278">
                  <c:v>172</c:v>
                </c:pt>
                <c:pt idx="279">
                  <c:v>172</c:v>
                </c:pt>
                <c:pt idx="280">
                  <c:v>172</c:v>
                </c:pt>
                <c:pt idx="281">
                  <c:v>172</c:v>
                </c:pt>
                <c:pt idx="282">
                  <c:v>172</c:v>
                </c:pt>
                <c:pt idx="283">
                  <c:v>172</c:v>
                </c:pt>
                <c:pt idx="284">
                  <c:v>173</c:v>
                </c:pt>
                <c:pt idx="285">
                  <c:v>173</c:v>
                </c:pt>
                <c:pt idx="286">
                  <c:v>173</c:v>
                </c:pt>
                <c:pt idx="287">
                  <c:v>173</c:v>
                </c:pt>
                <c:pt idx="288">
                  <c:v>173</c:v>
                </c:pt>
                <c:pt idx="289">
                  <c:v>173</c:v>
                </c:pt>
                <c:pt idx="290">
                  <c:v>174</c:v>
                </c:pt>
                <c:pt idx="291">
                  <c:v>174</c:v>
                </c:pt>
                <c:pt idx="292">
                  <c:v>174</c:v>
                </c:pt>
                <c:pt idx="293">
                  <c:v>174</c:v>
                </c:pt>
                <c:pt idx="294">
                  <c:v>174</c:v>
                </c:pt>
                <c:pt idx="295">
                  <c:v>174</c:v>
                </c:pt>
                <c:pt idx="296">
                  <c:v>175</c:v>
                </c:pt>
                <c:pt idx="297">
                  <c:v>175</c:v>
                </c:pt>
                <c:pt idx="298">
                  <c:v>175</c:v>
                </c:pt>
                <c:pt idx="299">
                  <c:v>175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71973"/>
        <c:axId val="68213647"/>
      </c:lineChart>
      <c:catAx>
        <c:axId val="84719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회차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13647"/>
        <c:crosses val="autoZero"/>
        <c:auto val="1"/>
        <c:lblAlgn val="ctr"/>
        <c:lblOffset val="100"/>
        <c:noMultiLvlLbl val="0"/>
      </c:catAx>
      <c:valAx>
        <c:axId val="682136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웨이브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19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여유 (실제DPS / 필요DPS) — 1.0~4.0 밴드 유지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환생메타!K1</c:f>
              <c:strCache>
                <c:ptCount val="1"/>
                <c:pt idx="0">
                  <c:v>여유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환생메타!$A$2:$A$301</c:f>
              <c:strCach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strCache>
            </c:strRef>
          </c:cat>
          <c:val>
            <c:numRef>
              <c:f>환생메타!$K$2:$K$301</c:f>
              <c:numCache>
                <c:formatCode>#,##0.00</c:formatCode>
                <c:ptCount val="300"/>
                <c:pt idx="0">
                  <c:v>1.56282477728101</c:v>
                </c:pt>
                <c:pt idx="1">
                  <c:v>2.42768202703646</c:v>
                </c:pt>
                <c:pt idx="2">
                  <c:v>2.40000400292043</c:v>
                </c:pt>
                <c:pt idx="3">
                  <c:v>2.44864407737675</c:v>
                </c:pt>
                <c:pt idx="4">
                  <c:v>2.4224753535989</c:v>
                </c:pt>
                <c:pt idx="5">
                  <c:v>2.34037883517989</c:v>
                </c:pt>
                <c:pt idx="6">
                  <c:v>2.38614972107271</c:v>
                </c:pt>
                <c:pt idx="7">
                  <c:v>2.39127577065181</c:v>
                </c:pt>
                <c:pt idx="8">
                  <c:v>2.3632730208994</c:v>
                </c:pt>
                <c:pt idx="9">
                  <c:v>2.30885323332296</c:v>
                </c:pt>
                <c:pt idx="10">
                  <c:v>2.23390638075232</c:v>
                </c:pt>
                <c:pt idx="11">
                  <c:v>2.31201821783572</c:v>
                </c:pt>
                <c:pt idx="12">
                  <c:v>2.19890063165649</c:v>
                </c:pt>
                <c:pt idx="13">
                  <c:v>2.24376948131581</c:v>
                </c:pt>
                <c:pt idx="14">
                  <c:v>2.2746957386059</c:v>
                </c:pt>
                <c:pt idx="15">
                  <c:v>1.30838366691171</c:v>
                </c:pt>
                <c:pt idx="16">
                  <c:v>1.60787709761744</c:v>
                </c:pt>
                <c:pt idx="17">
                  <c:v>1.87011419729731</c:v>
                </c:pt>
                <c:pt idx="18">
                  <c:v>2.09657972866055</c:v>
                </c:pt>
                <c:pt idx="19">
                  <c:v>2.12193732515394</c:v>
                </c:pt>
                <c:pt idx="20">
                  <c:v>2.27629409749242</c:v>
                </c:pt>
                <c:pt idx="21">
                  <c:v>2.40331616714365</c:v>
                </c:pt>
                <c:pt idx="22">
                  <c:v>2.50535234533646</c:v>
                </c:pt>
                <c:pt idx="23">
                  <c:v>2.58469008018113</c:v>
                </c:pt>
                <c:pt idx="24">
                  <c:v>2.64352020509524</c:v>
                </c:pt>
                <c:pt idx="25">
                  <c:v>2.90163049639445</c:v>
                </c:pt>
                <c:pt idx="26">
                  <c:v>2.92383344465507</c:v>
                </c:pt>
                <c:pt idx="27">
                  <c:v>2.93070062162149</c:v>
                </c:pt>
                <c:pt idx="28">
                  <c:v>2.92400056612934</c:v>
                </c:pt>
                <c:pt idx="29">
                  <c:v>2.90536596262418</c:v>
                </c:pt>
                <c:pt idx="30">
                  <c:v>2.87629831528175</c:v>
                </c:pt>
                <c:pt idx="31">
                  <c:v>2.83817372493856</c:v>
                </c:pt>
                <c:pt idx="32">
                  <c:v>3.02197126013209</c:v>
                </c:pt>
                <c:pt idx="33">
                  <c:v>2.96258378945187</c:v>
                </c:pt>
                <c:pt idx="34">
                  <c:v>2.89748460227388</c:v>
                </c:pt>
                <c:pt idx="35">
                  <c:v>1.32624037473247</c:v>
                </c:pt>
                <c:pt idx="36">
                  <c:v>1.68367730243489</c:v>
                </c:pt>
                <c:pt idx="37">
                  <c:v>1.89503524411071</c:v>
                </c:pt>
                <c:pt idx="38">
                  <c:v>2.07290386324762</c:v>
                </c:pt>
                <c:pt idx="39">
                  <c:v>2.40015275887401</c:v>
                </c:pt>
                <c:pt idx="40">
                  <c:v>2.52492516179959</c:v>
                </c:pt>
                <c:pt idx="41">
                  <c:v>2.6228557390765</c:v>
                </c:pt>
                <c:pt idx="42">
                  <c:v>2.91782202349285</c:v>
                </c:pt>
                <c:pt idx="43">
                  <c:v>2.9706463393825</c:v>
                </c:pt>
                <c:pt idx="44">
                  <c:v>3.00318194284997</c:v>
                </c:pt>
                <c:pt idx="45">
                  <c:v>3.26695072298198</c:v>
                </c:pt>
                <c:pt idx="46">
                  <c:v>3.26234909104344</c:v>
                </c:pt>
                <c:pt idx="47">
                  <c:v>3.51190472981276</c:v>
                </c:pt>
                <c:pt idx="48">
                  <c:v>3.47444783906119</c:v>
                </c:pt>
                <c:pt idx="49">
                  <c:v>3.42562975751629</c:v>
                </c:pt>
                <c:pt idx="50">
                  <c:v>3.64716585628897</c:v>
                </c:pt>
                <c:pt idx="51">
                  <c:v>3.57218317394088</c:v>
                </c:pt>
                <c:pt idx="52">
                  <c:v>3.78106192481487</c:v>
                </c:pt>
                <c:pt idx="53">
                  <c:v>3.68343313423191</c:v>
                </c:pt>
                <c:pt idx="54">
                  <c:v>3.88018891101978</c:v>
                </c:pt>
                <c:pt idx="55">
                  <c:v>3.76314888787611</c:v>
                </c:pt>
                <c:pt idx="56">
                  <c:v>3.94833408926449</c:v>
                </c:pt>
                <c:pt idx="57">
                  <c:v>3.81483772926641</c:v>
                </c:pt>
                <c:pt idx="58">
                  <c:v>3.98900957877701</c:v>
                </c:pt>
                <c:pt idx="59">
                  <c:v>3.84174162787624</c:v>
                </c:pt>
                <c:pt idx="60">
                  <c:v>4.00545325855682</c:v>
                </c:pt>
                <c:pt idx="61">
                  <c:v>3.84684166473385</c:v>
                </c:pt>
                <c:pt idx="62">
                  <c:v>4.00063605102471</c:v>
                </c:pt>
                <c:pt idx="63">
                  <c:v>3.83286719692885</c:v>
                </c:pt>
                <c:pt idx="64">
                  <c:v>3.97727303369362</c:v>
                </c:pt>
                <c:pt idx="65">
                  <c:v>3.80230781666782</c:v>
                </c:pt>
                <c:pt idx="66">
                  <c:v>3.93783676091077</c:v>
                </c:pt>
                <c:pt idx="67">
                  <c:v>3.75742685945422</c:v>
                </c:pt>
                <c:pt idx="68">
                  <c:v>3.88457174320971</c:v>
                </c:pt>
                <c:pt idx="69">
                  <c:v>3.70027564515304</c:v>
                </c:pt>
                <c:pt idx="70">
                  <c:v>3.81950939026699</c:v>
                </c:pt>
                <c:pt idx="71">
                  <c:v>3.63270791176666</c:v>
                </c:pt>
                <c:pt idx="72">
                  <c:v>3.74448295712029</c:v>
                </c:pt>
                <c:pt idx="73">
                  <c:v>3.85645362486095</c:v>
                </c:pt>
                <c:pt idx="74">
                  <c:v>3.65975938288646</c:v>
                </c:pt>
                <c:pt idx="75">
                  <c:v>3.76467961066592</c:v>
                </c:pt>
                <c:pt idx="76">
                  <c:v>3.56840419388367</c:v>
                </c:pt>
                <c:pt idx="77">
                  <c:v>3.66668828347299</c:v>
                </c:pt>
                <c:pt idx="78">
                  <c:v>3.47172040918377</c:v>
                </c:pt>
                <c:pt idx="79">
                  <c:v>3.56376187282084</c:v>
                </c:pt>
                <c:pt idx="80">
                  <c:v>3.65593948428731</c:v>
                </c:pt>
                <c:pt idx="81">
                  <c:v>3.45593201698643</c:v>
                </c:pt>
                <c:pt idx="82">
                  <c:v>3.54222471408895</c:v>
                </c:pt>
                <c:pt idx="83">
                  <c:v>1.28870904384374</c:v>
                </c:pt>
                <c:pt idx="84">
                  <c:v>1.47626285505763</c:v>
                </c:pt>
                <c:pt idx="85">
                  <c:v>1.66526660486913</c:v>
                </c:pt>
                <c:pt idx="86">
                  <c:v>1.71293029897187</c:v>
                </c:pt>
                <c:pt idx="87">
                  <c:v>1.89167600833617</c:v>
                </c:pt>
                <c:pt idx="88">
                  <c:v>2.07142307713208</c:v>
                </c:pt>
                <c:pt idx="89">
                  <c:v>2.07814251045234</c:v>
                </c:pt>
                <c:pt idx="90">
                  <c:v>2.24756127526481</c:v>
                </c:pt>
                <c:pt idx="91">
                  <c:v>2.23053858029563</c:v>
                </c:pt>
                <c:pt idx="92">
                  <c:v>2.38997861876103</c:v>
                </c:pt>
                <c:pt idx="93">
                  <c:v>2.55002906475772</c:v>
                </c:pt>
                <c:pt idx="94">
                  <c:v>2.50023323247198</c:v>
                </c:pt>
                <c:pt idx="95">
                  <c:v>2.65060678150947</c:v>
                </c:pt>
                <c:pt idx="96">
                  <c:v>2.80146269395902</c:v>
                </c:pt>
                <c:pt idx="97">
                  <c:v>2.72309220091599</c:v>
                </c:pt>
                <c:pt idx="98">
                  <c:v>2.86465586939529</c:v>
                </c:pt>
                <c:pt idx="99">
                  <c:v>3.00660996759033</c:v>
                </c:pt>
                <c:pt idx="100">
                  <c:v>2.9035914086849</c:v>
                </c:pt>
                <c:pt idx="101">
                  <c:v>3.036677875534</c:v>
                </c:pt>
                <c:pt idx="102">
                  <c:v>3.17008606568564</c:v>
                </c:pt>
                <c:pt idx="103">
                  <c:v>3.04603875189039</c:v>
                </c:pt>
                <c:pt idx="104">
                  <c:v>3.17102020121779</c:v>
                </c:pt>
                <c:pt idx="105">
                  <c:v>3.03886993786476</c:v>
                </c:pt>
                <c:pt idx="106">
                  <c:v>3.15590456153445</c:v>
                </c:pt>
                <c:pt idx="107">
                  <c:v>3.27317412910152</c:v>
                </c:pt>
                <c:pt idx="108">
                  <c:v>3.39067069033264</c:v>
                </c:pt>
                <c:pt idx="109">
                  <c:v>3.23405980560859</c:v>
                </c:pt>
                <c:pt idx="110">
                  <c:v>3.34400978796343</c:v>
                </c:pt>
                <c:pt idx="111">
                  <c:v>3.45415327297915</c:v>
                </c:pt>
                <c:pt idx="112">
                  <c:v>3.28551901156434</c:v>
                </c:pt>
                <c:pt idx="113">
                  <c:v>3.38854194277728</c:v>
                </c:pt>
                <c:pt idx="114">
                  <c:v>3.49173106187737</c:v>
                </c:pt>
                <c:pt idx="115">
                  <c:v>3.313493089592</c:v>
                </c:pt>
                <c:pt idx="116">
                  <c:v>3.40997318539994</c:v>
                </c:pt>
                <c:pt idx="117">
                  <c:v>3.50659691000677</c:v>
                </c:pt>
                <c:pt idx="118">
                  <c:v>3.32091511236769</c:v>
                </c:pt>
                <c:pt idx="119">
                  <c:v>3.41122493501905</c:v>
                </c:pt>
                <c:pt idx="120">
                  <c:v>3.50165955742375</c:v>
                </c:pt>
                <c:pt idx="121">
                  <c:v>3.3104534953399</c:v>
                </c:pt>
                <c:pt idx="122">
                  <c:v>3.39495186905674</c:v>
                </c:pt>
                <c:pt idx="123">
                  <c:v>3.47955918510059</c:v>
                </c:pt>
                <c:pt idx="124">
                  <c:v>3.5642729365127</c:v>
                </c:pt>
                <c:pt idx="125">
                  <c:v>3.36264985215645</c:v>
                </c:pt>
                <c:pt idx="126">
                  <c:v>3.44177502378436</c:v>
                </c:pt>
                <c:pt idx="127">
                  <c:v>3.52099362520817</c:v>
                </c:pt>
                <c:pt idx="128">
                  <c:v>3.31753169103084</c:v>
                </c:pt>
                <c:pt idx="129">
                  <c:v>3.39150516974066</c:v>
                </c:pt>
                <c:pt idx="130">
                  <c:v>3.46556093855684</c:v>
                </c:pt>
                <c:pt idx="131">
                  <c:v>3.53969733203714</c:v>
                </c:pt>
                <c:pt idx="132">
                  <c:v>3.32988984728595</c:v>
                </c:pt>
                <c:pt idx="133">
                  <c:v>3.39909767703351</c:v>
                </c:pt>
                <c:pt idx="134">
                  <c:v>3.46837681583415</c:v>
                </c:pt>
                <c:pt idx="135">
                  <c:v>3.25955354683603</c:v>
                </c:pt>
                <c:pt idx="136">
                  <c:v>3.32421292191807</c:v>
                </c:pt>
                <c:pt idx="137">
                  <c:v>3.38893552765085</c:v>
                </c:pt>
                <c:pt idx="138">
                  <c:v>3.45372021949938</c:v>
                </c:pt>
                <c:pt idx="139">
                  <c:v>3.24174595383981</c:v>
                </c:pt>
                <c:pt idx="140">
                  <c:v>3.30219581718881</c:v>
                </c:pt>
                <c:pt idx="141">
                  <c:v>3.36270091211161</c:v>
                </c:pt>
                <c:pt idx="142">
                  <c:v>3.1538205947441</c:v>
                </c:pt>
                <c:pt idx="143">
                  <c:v>3.21026647042731</c:v>
                </c:pt>
                <c:pt idx="144">
                  <c:v>3.2667615774822</c:v>
                </c:pt>
                <c:pt idx="145">
                  <c:v>3.32330510841316</c:v>
                </c:pt>
                <c:pt idx="146">
                  <c:v>3.11373825456048</c:v>
                </c:pt>
                <c:pt idx="147">
                  <c:v>3.16647711898479</c:v>
                </c:pt>
                <c:pt idx="148">
                  <c:v>3.21925925861347</c:v>
                </c:pt>
                <c:pt idx="149">
                  <c:v>3.27208400027676</c:v>
                </c:pt>
                <c:pt idx="150">
                  <c:v>3.06299781532</c:v>
                </c:pt>
                <c:pt idx="151">
                  <c:v>3.11225834239383</c:v>
                </c:pt>
                <c:pt idx="152">
                  <c:v>3.16155702914175</c:v>
                </c:pt>
                <c:pt idx="153">
                  <c:v>3.21089331083627</c:v>
                </c:pt>
                <c:pt idx="154">
                  <c:v>3.00329704381636</c:v>
                </c:pt>
                <c:pt idx="155">
                  <c:v>3.0492959225685</c:v>
                </c:pt>
                <c:pt idx="156">
                  <c:v>3.09532854471922</c:v>
                </c:pt>
                <c:pt idx="157">
                  <c:v>3.14139443384913</c:v>
                </c:pt>
                <c:pt idx="158">
                  <c:v>2.93615476337736</c:v>
                </c:pt>
                <c:pt idx="159">
                  <c:v>2.979096939927</c:v>
                </c:pt>
                <c:pt idx="160">
                  <c:v>3.02206902979211</c:v>
                </c:pt>
                <c:pt idx="161">
                  <c:v>3.06507062902385</c:v>
                </c:pt>
                <c:pt idx="162">
                  <c:v>2.8629259008666</c:v>
                </c:pt>
                <c:pt idx="163">
                  <c:v>2.90300491056936</c:v>
                </c:pt>
                <c:pt idx="164">
                  <c:v>2.94311049831994</c:v>
                </c:pt>
                <c:pt idx="165">
                  <c:v>2.98324232005708</c:v>
                </c:pt>
                <c:pt idx="166">
                  <c:v>1.01939761155199</c:v>
                </c:pt>
                <c:pt idx="167">
                  <c:v>1.10693782534397</c:v>
                </c:pt>
                <c:pt idx="168">
                  <c:v>1.19483096920759</c:v>
                </c:pt>
                <c:pt idx="169">
                  <c:v>1.2830523682254</c:v>
                </c:pt>
                <c:pt idx="170">
                  <c:v>1.26429106516748</c:v>
                </c:pt>
                <c:pt idx="171">
                  <c:v>1.34696388347474</c:v>
                </c:pt>
                <c:pt idx="172">
                  <c:v>1.42989068575554</c:v>
                </c:pt>
                <c:pt idx="173">
                  <c:v>1.51305747449849</c:v>
                </c:pt>
                <c:pt idx="174">
                  <c:v>1.59645171494992</c:v>
                </c:pt>
                <c:pt idx="175">
                  <c:v>1.54827546689013</c:v>
                </c:pt>
                <c:pt idx="176">
                  <c:v>1.62628266366412</c:v>
                </c:pt>
                <c:pt idx="177">
                  <c:v>1.70447394122643</c:v>
                </c:pt>
                <c:pt idx="178">
                  <c:v>1.78284127374861</c:v>
                </c:pt>
                <c:pt idx="179">
                  <c:v>1.71513453271555</c:v>
                </c:pt>
                <c:pt idx="180">
                  <c:v>1.78836913352725</c:v>
                </c:pt>
                <c:pt idx="181">
                  <c:v>1.86174948172384</c:v>
                </c:pt>
                <c:pt idx="182">
                  <c:v>1.93527011606885</c:v>
                </c:pt>
                <c:pt idx="183">
                  <c:v>1.85089239474643</c:v>
                </c:pt>
                <c:pt idx="184">
                  <c:v>1.91954851752153</c:v>
                </c:pt>
                <c:pt idx="185">
                  <c:v>1.98832269215595</c:v>
                </c:pt>
                <c:pt idx="186">
                  <c:v>2.05721103556033</c:v>
                </c:pt>
                <c:pt idx="187">
                  <c:v>2.12620991199495</c:v>
                </c:pt>
                <c:pt idx="188">
                  <c:v>2.02240925200612</c:v>
                </c:pt>
                <c:pt idx="189">
                  <c:v>2.08679976118549</c:v>
                </c:pt>
                <c:pt idx="190">
                  <c:v>2.1512847141073</c:v>
                </c:pt>
                <c:pt idx="191">
                  <c:v>2.21586141766493</c:v>
                </c:pt>
                <c:pt idx="192">
                  <c:v>2.10075904297423</c:v>
                </c:pt>
                <c:pt idx="193">
                  <c:v>2.16099655391095</c:v>
                </c:pt>
                <c:pt idx="194">
                  <c:v>2.221313175868</c:v>
                </c:pt>
                <c:pt idx="195">
                  <c:v>2.28170686463527</c:v>
                </c:pt>
                <c:pt idx="196">
                  <c:v>2.34217567899362</c:v>
                </c:pt>
                <c:pt idx="197">
                  <c:v>2.2131552309706</c:v>
                </c:pt>
                <c:pt idx="198">
                  <c:v>2.26953644099875</c:v>
                </c:pt>
                <c:pt idx="199">
                  <c:v>2.32598302373028</c:v>
                </c:pt>
                <c:pt idx="200">
                  <c:v>2.38249346893768</c:v>
                </c:pt>
                <c:pt idx="201">
                  <c:v>2.43906633460018</c:v>
                </c:pt>
                <c:pt idx="202">
                  <c:v>2.29865727186509</c:v>
                </c:pt>
                <c:pt idx="203">
                  <c:v>2.35138699166251</c:v>
                </c:pt>
                <c:pt idx="204">
                  <c:v>2.40417142211342</c:v>
                </c:pt>
                <c:pt idx="205">
                  <c:v>2.45700941934714</c:v>
                </c:pt>
                <c:pt idx="206">
                  <c:v>2.50989988634718</c:v>
                </c:pt>
                <c:pt idx="207">
                  <c:v>2.3603676817388</c:v>
                </c:pt>
                <c:pt idx="208">
                  <c:v>2.40965014516382</c:v>
                </c:pt>
                <c:pt idx="209">
                  <c:v>2.45897886657031</c:v>
                </c:pt>
                <c:pt idx="210">
                  <c:v>2.50835296197975</c:v>
                </c:pt>
                <c:pt idx="211">
                  <c:v>2.55777158056683</c:v>
                </c:pt>
                <c:pt idx="212">
                  <c:v>2.4011347057155</c:v>
                </c:pt>
                <c:pt idx="213">
                  <c:v>2.44716997812259</c:v>
                </c:pt>
                <c:pt idx="214">
                  <c:v>2.49324469167138</c:v>
                </c:pt>
                <c:pt idx="215">
                  <c:v>2.53935815182086</c:v>
                </c:pt>
                <c:pt idx="216">
                  <c:v>2.58550968806873</c:v>
                </c:pt>
                <c:pt idx="217">
                  <c:v>2.42355794555383</c:v>
                </c:pt>
                <c:pt idx="218">
                  <c:v>2.46653975585728</c:v>
                </c:pt>
                <c:pt idx="219">
                  <c:v>2.50955543198994</c:v>
                </c:pt>
                <c:pt idx="220">
                  <c:v>2.55260442062905</c:v>
                </c:pt>
                <c:pt idx="221">
                  <c:v>2.59568618624289</c:v>
                </c:pt>
                <c:pt idx="222">
                  <c:v>2.42999925022721</c:v>
                </c:pt>
                <c:pt idx="223">
                  <c:v>2.47011370625779</c:v>
                </c:pt>
                <c:pt idx="224">
                  <c:v>2.51025741456246</c:v>
                </c:pt>
                <c:pt idx="225">
                  <c:v>2.55042992909739</c:v>
                </c:pt>
                <c:pt idx="226">
                  <c:v>2.59063081721753</c:v>
                </c:pt>
                <c:pt idx="227">
                  <c:v>2.42259634474788</c:v>
                </c:pt>
                <c:pt idx="228">
                  <c:v>2.46002121493531</c:v>
                </c:pt>
                <c:pt idx="229">
                  <c:v>2.49747148178667</c:v>
                </c:pt>
                <c:pt idx="230">
                  <c:v>2.53494678207551</c:v>
                </c:pt>
                <c:pt idx="231">
                  <c:v>2.57244676281898</c:v>
                </c:pt>
                <c:pt idx="232">
                  <c:v>2.4032777199374</c:v>
                </c:pt>
                <c:pt idx="233">
                  <c:v>2.438182086829</c:v>
                </c:pt>
                <c:pt idx="234">
                  <c:v>2.47310860088247</c:v>
                </c:pt>
                <c:pt idx="235">
                  <c:v>2.5080569636967</c:v>
                </c:pt>
                <c:pt idx="236">
                  <c:v>2.54302688480495</c:v>
                </c:pt>
                <c:pt idx="237">
                  <c:v>2.57801808136246</c:v>
                </c:pt>
                <c:pt idx="238">
                  <c:v>2.40600695990235</c:v>
                </c:pt>
                <c:pt idx="239">
                  <c:v>2.438570323675</c:v>
                </c:pt>
                <c:pt idx="240">
                  <c:v>2.47115283122566</c:v>
                </c:pt>
                <c:pt idx="241">
                  <c:v>2.50375424166783</c:v>
                </c:pt>
                <c:pt idx="242">
                  <c:v>2.53637432010195</c:v>
                </c:pt>
                <c:pt idx="243">
                  <c:v>2.36540524224547</c:v>
                </c:pt>
                <c:pt idx="244">
                  <c:v>2.39575748736465</c:v>
                </c:pt>
                <c:pt idx="245">
                  <c:v>2.42612656199614</c:v>
                </c:pt>
                <c:pt idx="246">
                  <c:v>2.45651226504278</c:v>
                </c:pt>
                <c:pt idx="247">
                  <c:v>2.4869144001566</c:v>
                </c:pt>
                <c:pt idx="248">
                  <c:v>2.51733277557252</c:v>
                </c:pt>
                <c:pt idx="249">
                  <c:v>2.3457685769867</c:v>
                </c:pt>
                <c:pt idx="250">
                  <c:v>2.37406781675145</c:v>
                </c:pt>
                <c:pt idx="251">
                  <c:v>2.40238172804269</c:v>
                </c:pt>
                <c:pt idx="252">
                  <c:v>2.43071014575123</c:v>
                </c:pt>
                <c:pt idx="253">
                  <c:v>2.4590529084428</c:v>
                </c:pt>
                <c:pt idx="254">
                  <c:v>2.29013478113362</c:v>
                </c:pt>
                <c:pt idx="255">
                  <c:v>2.3164995618798</c:v>
                </c:pt>
                <c:pt idx="256">
                  <c:v>2.34287732094983</c:v>
                </c:pt>
                <c:pt idx="257">
                  <c:v>2.36926791878562</c:v>
                </c:pt>
                <c:pt idx="258">
                  <c:v>2.39567121879858</c:v>
                </c:pt>
                <c:pt idx="259">
                  <c:v>2.42208708727584</c:v>
                </c:pt>
                <c:pt idx="260">
                  <c:v>2.25426068241012</c:v>
                </c:pt>
                <c:pt idx="261">
                  <c:v>2.27882970022694</c:v>
                </c:pt>
                <c:pt idx="262">
                  <c:v>2.30341010784184</c:v>
                </c:pt>
                <c:pt idx="263">
                  <c:v>2.32800178913755</c:v>
                </c:pt>
                <c:pt idx="264">
                  <c:v>2.35260463034051</c:v>
                </c:pt>
                <c:pt idx="265">
                  <c:v>2.37721851995067</c:v>
                </c:pt>
                <c:pt idx="266">
                  <c:v>2.21123161361736</c:v>
                </c:pt>
                <c:pt idx="267">
                  <c:v>2.23412170487199</c:v>
                </c:pt>
                <c:pt idx="268">
                  <c:v>2.25702182302236</c:v>
                </c:pt>
                <c:pt idx="269">
                  <c:v>2.27993187085125</c:v>
                </c:pt>
                <c:pt idx="270">
                  <c:v>2.30285175300854</c:v>
                </c:pt>
                <c:pt idx="271">
                  <c:v>2.3257813759579</c:v>
                </c:pt>
                <c:pt idx="272">
                  <c:v>2.16226914595347</c:v>
                </c:pt>
                <c:pt idx="273">
                  <c:v>2.18359034059115</c:v>
                </c:pt>
                <c:pt idx="274">
                  <c:v>2.20492038688813</c:v>
                </c:pt>
                <c:pt idx="275">
                  <c:v>2.22625920299662</c:v>
                </c:pt>
                <c:pt idx="276">
                  <c:v>2.24760670856862</c:v>
                </c:pt>
                <c:pt idx="277">
                  <c:v>2.26896282471505</c:v>
                </c:pt>
                <c:pt idx="278">
                  <c:v>2.10845968951545</c:v>
                </c:pt>
                <c:pt idx="279">
                  <c:v>2.12831546362672</c:v>
                </c:pt>
                <c:pt idx="280">
                  <c:v>2.14817907143891</c:v>
                </c:pt>
                <c:pt idx="281">
                  <c:v>2.16805044369819</c:v>
                </c:pt>
                <c:pt idx="282">
                  <c:v>2.18792951236446</c:v>
                </c:pt>
                <c:pt idx="283">
                  <c:v>2.20781621057979</c:v>
                </c:pt>
                <c:pt idx="284">
                  <c:v>2.05076666473242</c:v>
                </c:pt>
                <c:pt idx="285">
                  <c:v>2.0692542173927</c:v>
                </c:pt>
                <c:pt idx="286">
                  <c:v>2.08774871849428</c:v>
                </c:pt>
                <c:pt idx="287">
                  <c:v>2.10625010917391</c:v>
                </c:pt>
                <c:pt idx="288">
                  <c:v>2.12475833155729</c:v>
                </c:pt>
                <c:pt idx="289">
                  <c:v>2.14327332873433</c:v>
                </c:pt>
                <c:pt idx="290">
                  <c:v>1.99004183172453</c:v>
                </c:pt>
                <c:pt idx="291">
                  <c:v>2.00725237514902</c:v>
                </c:pt>
                <c:pt idx="292">
                  <c:v>2.02446909438937</c:v>
                </c:pt>
                <c:pt idx="293">
                  <c:v>2.04169193920823</c:v>
                </c:pt>
                <c:pt idx="294">
                  <c:v>2.05892086017895</c:v>
                </c:pt>
                <c:pt idx="295">
                  <c:v>2.07615580866618</c:v>
                </c:pt>
                <c:pt idx="296">
                  <c:v>1.92703578757935</c:v>
                </c:pt>
                <c:pt idx="297">
                  <c:v>1.94305484277354</c:v>
                </c:pt>
                <c:pt idx="298">
                  <c:v>1.95907939727754</c:v>
                </c:pt>
                <c:pt idx="299">
                  <c:v>1.97510940805516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039383"/>
        <c:axId val="62395118"/>
      </c:lineChart>
      <c:catAx>
        <c:axId val="96039383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95118"/>
        <c:crosses val="autoZero"/>
        <c:auto val="1"/>
        <c:lblAlgn val="ctr"/>
        <c:lblOffset val="100"/>
        <c:noMultiLvlLbl val="0"/>
      </c:catAx>
      <c:valAx>
        <c:axId val="623951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39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22</xdr:col>
      <xdr:colOff>470880</xdr:colOff>
      <xdr:row>17</xdr:row>
      <xdr:rowOff>189360</xdr:rowOff>
    </xdr:to>
    <xdr:graphicFrame>
      <xdr:nvGraphicFramePr>
        <xdr:cNvPr id="0" name="Chart 1"/>
        <xdr:cNvGraphicFramePr/>
      </xdr:nvGraphicFramePr>
      <xdr:xfrm>
        <a:off x="9492480" y="190440"/>
        <a:ext cx="719748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0</xdr:rowOff>
    </xdr:from>
    <xdr:to>
      <xdr:col>22</xdr:col>
      <xdr:colOff>470880</xdr:colOff>
      <xdr:row>36</xdr:row>
      <xdr:rowOff>189360</xdr:rowOff>
    </xdr:to>
    <xdr:graphicFrame>
      <xdr:nvGraphicFramePr>
        <xdr:cNvPr id="1" name="Chart 2"/>
        <xdr:cNvGraphicFramePr/>
      </xdr:nvGraphicFramePr>
      <xdr:xfrm>
        <a:off x="9492480" y="3809880"/>
        <a:ext cx="719748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25</xdr:col>
      <xdr:colOff>471240</xdr:colOff>
      <xdr:row>17</xdr:row>
      <xdr:rowOff>189720</xdr:rowOff>
    </xdr:to>
    <xdr:graphicFrame>
      <xdr:nvGraphicFramePr>
        <xdr:cNvPr id="2" name="Chart 1"/>
        <xdr:cNvGraphicFramePr/>
      </xdr:nvGraphicFramePr>
      <xdr:xfrm>
        <a:off x="10267920" y="190440"/>
        <a:ext cx="71978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25</xdr:col>
      <xdr:colOff>471240</xdr:colOff>
      <xdr:row>36</xdr:row>
      <xdr:rowOff>189720</xdr:rowOff>
    </xdr:to>
    <xdr:graphicFrame>
      <xdr:nvGraphicFramePr>
        <xdr:cNvPr id="3" name="Chart 2"/>
        <xdr:cNvGraphicFramePr/>
      </xdr:nvGraphicFramePr>
      <xdr:xfrm>
        <a:off x="10267920" y="3809880"/>
        <a:ext cx="71978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</row>
    <row r="5" customFormat="false" ht="15" hidden="false" customHeight="true" outlineLevel="0" collapsed="false">
      <c r="A5" s="6" t="s">
        <v>3</v>
      </c>
      <c r="B5" s="7" t="n">
        <v>10</v>
      </c>
      <c r="C5" s="8" t="s">
        <v>4</v>
      </c>
    </row>
    <row r="6" customFormat="false" ht="15" hidden="false" customHeight="true" outlineLevel="0" collapsed="false">
      <c r="A6" s="6" t="s">
        <v>5</v>
      </c>
      <c r="B6" s="9" t="n">
        <v>1.09</v>
      </c>
      <c r="C6" s="8" t="s">
        <v>6</v>
      </c>
    </row>
    <row r="7" customFormat="false" ht="15" hidden="false" customHeight="true" outlineLevel="0" collapsed="false">
      <c r="A7" s="6" t="s">
        <v>7</v>
      </c>
      <c r="B7" s="10" t="n">
        <v>10</v>
      </c>
      <c r="C7" s="8" t="s">
        <v>8</v>
      </c>
    </row>
    <row r="8" customFormat="false" ht="15" hidden="false" customHeight="true" outlineLevel="0" collapsed="false">
      <c r="A8" s="4" t="s">
        <v>9</v>
      </c>
      <c r="B8" s="5"/>
      <c r="C8" s="5"/>
      <c r="D8" s="5"/>
    </row>
    <row r="9" customFormat="false" ht="15" hidden="false" customHeight="true" outlineLevel="0" collapsed="false">
      <c r="A9" s="6" t="s">
        <v>10</v>
      </c>
      <c r="B9" s="7" t="n">
        <v>2</v>
      </c>
      <c r="C9" s="8" t="s">
        <v>11</v>
      </c>
    </row>
    <row r="10" customFormat="false" ht="15" hidden="false" customHeight="true" outlineLevel="0" collapsed="false">
      <c r="A10" s="6" t="s">
        <v>12</v>
      </c>
      <c r="B10" s="9" t="n">
        <v>1.075</v>
      </c>
      <c r="C10" s="8" t="s">
        <v>13</v>
      </c>
    </row>
    <row r="11" customFormat="false" ht="15" hidden="false" customHeight="true" outlineLevel="0" collapsed="false">
      <c r="A11" s="4" t="s">
        <v>14</v>
      </c>
      <c r="B11" s="5"/>
      <c r="C11" s="5"/>
      <c r="D11" s="5"/>
    </row>
    <row r="12" customFormat="false" ht="15" hidden="false" customHeight="true" outlineLevel="0" collapsed="false">
      <c r="A12" s="6" t="s">
        <v>15</v>
      </c>
      <c r="B12" s="7" t="n">
        <v>5</v>
      </c>
      <c r="C12" s="8" t="s">
        <v>16</v>
      </c>
    </row>
    <row r="13" customFormat="false" ht="15" hidden="false" customHeight="true" outlineLevel="0" collapsed="false">
      <c r="A13" s="6" t="s">
        <v>17</v>
      </c>
      <c r="B13" s="10" t="n">
        <v>10</v>
      </c>
      <c r="C13" s="8" t="s">
        <v>18</v>
      </c>
    </row>
    <row r="14" customFormat="false" ht="15" hidden="false" customHeight="true" outlineLevel="0" collapsed="false">
      <c r="A14" s="6" t="s">
        <v>19</v>
      </c>
      <c r="B14" s="9" t="n">
        <v>1.12</v>
      </c>
      <c r="C14" s="8" t="s">
        <v>20</v>
      </c>
    </row>
    <row r="15" customFormat="false" ht="15" hidden="false" customHeight="true" outlineLevel="0" collapsed="false">
      <c r="A15" s="6" t="s">
        <v>21</v>
      </c>
      <c r="B15" s="7" t="n">
        <v>3</v>
      </c>
      <c r="C15" s="8" t="s">
        <v>22</v>
      </c>
    </row>
    <row r="16" customFormat="false" ht="15" hidden="false" customHeight="true" outlineLevel="0" collapsed="false">
      <c r="A16" s="4" t="s">
        <v>23</v>
      </c>
      <c r="B16" s="5"/>
      <c r="C16" s="5"/>
      <c r="D16" s="5"/>
    </row>
    <row r="17" customFormat="false" ht="15" hidden="false" customHeight="true" outlineLevel="0" collapsed="false">
      <c r="A17" s="6" t="s">
        <v>24</v>
      </c>
      <c r="B17" s="10" t="n">
        <v>5</v>
      </c>
      <c r="C17" s="8" t="s">
        <v>25</v>
      </c>
    </row>
    <row r="18" customFormat="false" ht="15" hidden="false" customHeight="true" outlineLevel="0" collapsed="false">
      <c r="A18" s="6" t="s">
        <v>26</v>
      </c>
      <c r="B18" s="10" t="n">
        <v>45</v>
      </c>
      <c r="C18" s="8" t="s">
        <v>27</v>
      </c>
    </row>
    <row r="19" customFormat="false" ht="15" hidden="false" customHeight="true" outlineLevel="0" collapsed="false">
      <c r="A19" s="6" t="s">
        <v>28</v>
      </c>
      <c r="B19" s="10" t="n">
        <v>50</v>
      </c>
      <c r="C19" s="8" t="s">
        <v>29</v>
      </c>
    </row>
    <row r="24" customFormat="false" ht="15" hidden="false" customHeight="true" outlineLevel="0" collapsed="false">
      <c r="A24" s="11" t="s">
        <v>30</v>
      </c>
    </row>
    <row r="25" customFormat="false" ht="15" hidden="false" customHeight="true" outlineLevel="0" collapsed="false">
      <c r="A25" s="12" t="s">
        <v>31</v>
      </c>
    </row>
    <row r="26" customFormat="false" ht="15" hidden="false" customHeight="true" outlineLevel="0" collapsed="false">
      <c r="A26" s="12" t="s">
        <v>32</v>
      </c>
    </row>
    <row r="27" customFormat="false" ht="15" hidden="false" customHeight="true" outlineLevel="0" collapsed="false">
      <c r="A27" s="12" t="s">
        <v>33</v>
      </c>
    </row>
    <row r="28" customFormat="false" ht="15" hidden="false" customHeight="true" outlineLevel="0" collapsed="false">
      <c r="A28" s="12" t="s">
        <v>34</v>
      </c>
    </row>
    <row r="31" customFormat="false" ht="15" hidden="false" customHeight="true" outlineLevel="0" collapsed="false">
      <c r="A31" s="4" t="s">
        <v>35</v>
      </c>
      <c r="B31" s="5"/>
      <c r="C31" s="5"/>
      <c r="D31" s="5"/>
    </row>
    <row r="32" customFormat="false" ht="15" hidden="false" customHeight="true" outlineLevel="0" collapsed="false">
      <c r="A32" s="6" t="s">
        <v>36</v>
      </c>
      <c r="B32" s="7" t="n">
        <v>37.7</v>
      </c>
      <c r="C32" s="8" t="s">
        <v>37</v>
      </c>
    </row>
    <row r="33" customFormat="false" ht="15" hidden="false" customHeight="true" outlineLevel="0" collapsed="false">
      <c r="A33" s="6" t="s">
        <v>38</v>
      </c>
      <c r="B33" s="9" t="n">
        <v>0.269</v>
      </c>
      <c r="C33" s="8" t="s">
        <v>39</v>
      </c>
    </row>
    <row r="34" customFormat="false" ht="15" hidden="false" customHeight="true" outlineLevel="0" collapsed="false">
      <c r="A34" s="6" t="s">
        <v>40</v>
      </c>
      <c r="B34" s="13" t="n">
        <v>2.5</v>
      </c>
      <c r="C34" s="14" t="s">
        <v>41</v>
      </c>
    </row>
    <row r="35" customFormat="false" ht="15" hidden="false" customHeight="true" outlineLevel="0" collapsed="false">
      <c r="A35" s="6" t="s">
        <v>42</v>
      </c>
      <c r="B35" s="15" t="n">
        <v>0.15</v>
      </c>
      <c r="C35" s="14" t="s">
        <v>43</v>
      </c>
    </row>
    <row r="36" customFormat="false" ht="15" hidden="false" customHeight="true" outlineLevel="0" collapsed="false">
      <c r="A36" s="6" t="s">
        <v>44</v>
      </c>
      <c r="B36" s="13" t="n">
        <v>1.6</v>
      </c>
      <c r="C36" s="8" t="s">
        <v>45</v>
      </c>
    </row>
    <row r="37" customFormat="false" ht="15" hidden="false" customHeight="true" outlineLevel="0" collapsed="false">
      <c r="A37" s="6" t="s">
        <v>46</v>
      </c>
      <c r="B37" s="9" t="n">
        <v>0.02</v>
      </c>
      <c r="C37" s="8" t="s">
        <v>47</v>
      </c>
    </row>
    <row r="38" customFormat="false" ht="15" hidden="false" customHeight="true" outlineLevel="0" collapsed="false">
      <c r="A38" s="6" t="s">
        <v>48</v>
      </c>
      <c r="B38" s="9" t="n">
        <v>0.015</v>
      </c>
      <c r="C38" s="8" t="s">
        <v>49</v>
      </c>
    </row>
    <row r="39" customFormat="false" ht="15" hidden="false" customHeight="true" outlineLevel="0" collapsed="false">
      <c r="A39" s="6" t="s">
        <v>50</v>
      </c>
      <c r="B39" s="7" t="n">
        <v>3</v>
      </c>
      <c r="C39" s="8" t="s">
        <v>51</v>
      </c>
    </row>
    <row r="41" customFormat="false" ht="15" hidden="false" customHeight="true" outlineLevel="0" collapsed="false">
      <c r="A41" s="11" t="s">
        <v>52</v>
      </c>
      <c r="C41" s="8" t="s">
        <v>53</v>
      </c>
    </row>
    <row r="42" customFormat="false" ht="15" hidden="false" customHeight="true" outlineLevel="0" collapsed="false">
      <c r="A42" s="6" t="s">
        <v>54</v>
      </c>
      <c r="B42" s="10" t="n">
        <v>50</v>
      </c>
      <c r="C42" s="16" t="s">
        <v>55</v>
      </c>
    </row>
    <row r="43" customFormat="false" ht="15" hidden="false" customHeight="true" outlineLevel="0" collapsed="false">
      <c r="A43" s="6" t="s">
        <v>56</v>
      </c>
      <c r="B43" s="10" t="n">
        <v>80</v>
      </c>
    </row>
    <row r="44" customFormat="false" ht="15" hidden="false" customHeight="true" outlineLevel="0" collapsed="false">
      <c r="A44" s="6" t="s">
        <v>57</v>
      </c>
      <c r="B44" s="10" t="n">
        <v>100</v>
      </c>
    </row>
    <row r="45" customFormat="false" ht="15" hidden="false" customHeight="true" outlineLevel="0" collapsed="false">
      <c r="A45" s="6" t="s">
        <v>58</v>
      </c>
      <c r="B45" s="10" t="n">
        <v>125</v>
      </c>
    </row>
    <row r="46" customFormat="false" ht="15" hidden="false" customHeight="true" outlineLevel="0" collapsed="false">
      <c r="A46" s="6" t="s">
        <v>59</v>
      </c>
      <c r="B46" s="10" t="n">
        <v>150</v>
      </c>
    </row>
    <row r="47" customFormat="false" ht="15" hidden="false" customHeight="true" outlineLevel="0" collapsed="false">
      <c r="A47" s="6" t="s">
        <v>60</v>
      </c>
      <c r="B47" s="10" t="n">
        <v>180</v>
      </c>
    </row>
    <row r="48" customFormat="false" ht="15" hidden="false" customHeight="true" outlineLevel="0" collapsed="false">
      <c r="A48" s="6" t="s">
        <v>61</v>
      </c>
      <c r="B48" s="10" t="n">
        <v>215</v>
      </c>
    </row>
    <row r="49" customFormat="false" ht="15" hidden="false" customHeight="true" outlineLevel="0" collapsed="false">
      <c r="A49" s="6" t="s">
        <v>62</v>
      </c>
      <c r="B49" s="10" t="n">
        <v>255</v>
      </c>
    </row>
    <row r="50" customFormat="false" ht="15" hidden="false" customHeight="true" outlineLevel="0" collapsed="false">
      <c r="A50" s="6" t="s">
        <v>63</v>
      </c>
      <c r="B50" s="10" t="n">
        <v>300</v>
      </c>
    </row>
    <row r="52" customFormat="false" ht="15" hidden="false" customHeight="true" outlineLevel="0" collapsed="false">
      <c r="A52" s="17" t="s">
        <v>64</v>
      </c>
    </row>
    <row r="53" customFormat="false" ht="15" hidden="false" customHeight="true" outlineLevel="0" collapsed="false">
      <c r="A53" s="12" t="s">
        <v>65</v>
      </c>
    </row>
    <row r="54" customFormat="false" ht="15" hidden="false" customHeight="true" outlineLevel="0" collapsed="false">
      <c r="A54" s="12" t="s">
        <v>66</v>
      </c>
    </row>
    <row r="55" customFormat="false" ht="15" hidden="false" customHeight="true" outlineLevel="0" collapsed="false">
      <c r="A55" s="18" t="s">
        <v>67</v>
      </c>
    </row>
    <row r="56" customFormat="false" ht="15" hidden="false" customHeight="true" outlineLevel="0" collapsed="false">
      <c r="A56" s="18" t="s">
        <v>68</v>
      </c>
    </row>
    <row r="57" customFormat="false" ht="15" hidden="false" customHeight="true" outlineLevel="0" collapsed="false">
      <c r="A57" s="18" t="s">
        <v>69</v>
      </c>
    </row>
    <row r="58" customFormat="false" ht="15" hidden="false" customHeight="true" outlineLevel="0" collapsed="false">
      <c r="A58" s="12" t="s">
        <v>70</v>
      </c>
    </row>
    <row r="59" customFormat="false" ht="15" hidden="false" customHeight="true" outlineLevel="0" collapsed="false">
      <c r="A59" s="12" t="s">
        <v>71</v>
      </c>
    </row>
    <row r="60" customFormat="false" ht="15" hidden="false" customHeight="false" outlineLevel="0" collapsed="false">
      <c r="A60" s="19" t="s">
        <v>72</v>
      </c>
    </row>
    <row r="61" customFormat="false" ht="15" hidden="false" customHeight="false" outlineLevel="0" collapsed="false">
      <c r="A61" s="20" t="s">
        <v>73</v>
      </c>
    </row>
    <row r="62" customFormat="false" ht="15" hidden="false" customHeight="false" outlineLevel="0" collapsed="false">
      <c r="A62" s="2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4"/>
    <col collapsed="false" customWidth="true" hidden="false" outlineLevel="0" max="10" min="10" style="1" width="9"/>
  </cols>
  <sheetData>
    <row r="1" customFormat="false" ht="15" hidden="false" customHeight="true" outlineLevel="0" collapsed="false">
      <c r="A1" s="21" t="s">
        <v>75</v>
      </c>
      <c r="B1" s="21" t="s">
        <v>76</v>
      </c>
      <c r="C1" s="21" t="s">
        <v>77</v>
      </c>
      <c r="D1" s="21" t="s">
        <v>78</v>
      </c>
      <c r="E1" s="21" t="s">
        <v>79</v>
      </c>
      <c r="F1" s="21" t="s">
        <v>80</v>
      </c>
      <c r="G1" s="22" t="s">
        <v>81</v>
      </c>
      <c r="H1" s="21" t="s">
        <v>82</v>
      </c>
      <c r="I1" s="21" t="s">
        <v>83</v>
      </c>
      <c r="J1" s="21" t="s">
        <v>84</v>
      </c>
    </row>
    <row r="2" customFormat="false" ht="15" hidden="false" customHeight="true" outlineLevel="0" collapsed="false">
      <c r="A2" s="23" t="n">
        <v>1</v>
      </c>
      <c r="B2" s="24" t="n">
        <f aca="false">가정!$B$5*가정!$B$6^(A2-1)</f>
        <v>10</v>
      </c>
      <c r="C2" s="24" t="n">
        <f aca="false">B2*가정!$B$7</f>
        <v>100</v>
      </c>
      <c r="D2" s="24" t="n">
        <f aca="false">가정!$B$9*가정!$B$10^(A2-1)*가정!$B$7</f>
        <v>20</v>
      </c>
      <c r="E2" s="24" t="n">
        <f aca="false">D2</f>
        <v>20</v>
      </c>
      <c r="F2" s="23" t="n">
        <f aca="false">INT(LOG(E2*(가정!$B$14-1)/가정!$B$13+1)/LOG(가정!$B$14))</f>
        <v>1</v>
      </c>
      <c r="G2" s="24" t="n">
        <f aca="false">가정!$B$12+F2*가정!$B$15</f>
        <v>8</v>
      </c>
      <c r="H2" s="25" t="n">
        <f aca="false">C2/G2</f>
        <v>12.5</v>
      </c>
      <c r="I2" s="25" t="n">
        <f aca="false">H2/60</f>
        <v>0.208333333333333</v>
      </c>
      <c r="J2" s="26" t="str">
        <f aca="false">IF(H2&lt;가정!$B$17,"빠름",IF(H2&gt;가정!$B$18,"느림","적정"))</f>
        <v>적정</v>
      </c>
    </row>
    <row r="3" customFormat="false" ht="15" hidden="false" customHeight="true" outlineLevel="0" collapsed="false">
      <c r="A3" s="23" t="n">
        <v>2</v>
      </c>
      <c r="B3" s="24" t="n">
        <f aca="false">가정!$B$5*가정!$B$6^(A3-1)</f>
        <v>10.9</v>
      </c>
      <c r="C3" s="24" t="n">
        <f aca="false">B3*가정!$B$7</f>
        <v>109</v>
      </c>
      <c r="D3" s="24" t="n">
        <f aca="false">가정!$B$9*가정!$B$10^(A3-1)*가정!$B$7</f>
        <v>21.5</v>
      </c>
      <c r="E3" s="24" t="n">
        <f aca="false">E2+D3</f>
        <v>41.5</v>
      </c>
      <c r="F3" s="23" t="n">
        <f aca="false">INT(LOG(E3*(가정!$B$14-1)/가정!$B$13+1)/LOG(가정!$B$14))</f>
        <v>3</v>
      </c>
      <c r="G3" s="24" t="n">
        <f aca="false">가정!$B$12+F3*가정!$B$15</f>
        <v>14</v>
      </c>
      <c r="H3" s="25" t="n">
        <f aca="false">C3/G3</f>
        <v>7.78571428571429</v>
      </c>
      <c r="I3" s="25" t="n">
        <f aca="false">I2+H3/60</f>
        <v>0.338095238095238</v>
      </c>
      <c r="J3" s="26" t="str">
        <f aca="false">IF(H3&lt;가정!$B$17,"빠름",IF(H3&gt;가정!$B$18,"느림","적정"))</f>
        <v>적정</v>
      </c>
    </row>
    <row r="4" customFormat="false" ht="15" hidden="false" customHeight="true" outlineLevel="0" collapsed="false">
      <c r="A4" s="23" t="n">
        <v>3</v>
      </c>
      <c r="B4" s="24" t="n">
        <f aca="false">가정!$B$5*가정!$B$6^(A4-1)</f>
        <v>11.881</v>
      </c>
      <c r="C4" s="24" t="n">
        <f aca="false">B4*가정!$B$7</f>
        <v>118.81</v>
      </c>
      <c r="D4" s="24" t="n">
        <f aca="false">가정!$B$9*가정!$B$10^(A4-1)*가정!$B$7</f>
        <v>23.1125</v>
      </c>
      <c r="E4" s="24" t="n">
        <f aca="false">E3+D4</f>
        <v>64.6125</v>
      </c>
      <c r="F4" s="23" t="n">
        <f aca="false">INT(LOG(E4*(가정!$B$14-1)/가정!$B$13+1)/LOG(가정!$B$14))</f>
        <v>5</v>
      </c>
      <c r="G4" s="24" t="n">
        <f aca="false">가정!$B$12+F4*가정!$B$15</f>
        <v>20</v>
      </c>
      <c r="H4" s="25" t="n">
        <f aca="false">C4/G4</f>
        <v>5.9405</v>
      </c>
      <c r="I4" s="25" t="n">
        <f aca="false">I3+H4/60</f>
        <v>0.437103571428572</v>
      </c>
      <c r="J4" s="26" t="str">
        <f aca="false">IF(H4&lt;가정!$B$17,"빠름",IF(H4&gt;가정!$B$18,"느림","적정"))</f>
        <v>적정</v>
      </c>
    </row>
    <row r="5" customFormat="false" ht="15" hidden="false" customHeight="true" outlineLevel="0" collapsed="false">
      <c r="A5" s="23" t="n">
        <v>4</v>
      </c>
      <c r="B5" s="24" t="n">
        <f aca="false">가정!$B$5*가정!$B$6^(A5-1)</f>
        <v>12.95029</v>
      </c>
      <c r="C5" s="24" t="n">
        <f aca="false">B5*가정!$B$7</f>
        <v>129.5029</v>
      </c>
      <c r="D5" s="24" t="n">
        <f aca="false">가정!$B$9*가정!$B$10^(A5-1)*가정!$B$7</f>
        <v>24.8459375</v>
      </c>
      <c r="E5" s="24" t="n">
        <f aca="false">E4+D5</f>
        <v>89.4584375</v>
      </c>
      <c r="F5" s="23" t="n">
        <f aca="false">INT(LOG(E5*(가정!$B$14-1)/가정!$B$13+1)/LOG(가정!$B$14))</f>
        <v>6</v>
      </c>
      <c r="G5" s="24" t="n">
        <f aca="false">가정!$B$12+F5*가정!$B$15</f>
        <v>23</v>
      </c>
      <c r="H5" s="25" t="n">
        <f aca="false">C5/G5</f>
        <v>5.63056086956522</v>
      </c>
      <c r="I5" s="25" t="n">
        <f aca="false">I4+H5/60</f>
        <v>0.530946252587992</v>
      </c>
      <c r="J5" s="26" t="str">
        <f aca="false">IF(H5&lt;가정!$B$17,"빠름",IF(H5&gt;가정!$B$18,"느림","적정"))</f>
        <v>적정</v>
      </c>
    </row>
    <row r="6" customFormat="false" ht="15" hidden="false" customHeight="true" outlineLevel="0" collapsed="false">
      <c r="A6" s="23" t="n">
        <v>5</v>
      </c>
      <c r="B6" s="24" t="n">
        <f aca="false">가정!$B$5*가정!$B$6^(A6-1)</f>
        <v>14.1158161</v>
      </c>
      <c r="C6" s="24" t="n">
        <f aca="false">B6*가정!$B$7</f>
        <v>141.158161</v>
      </c>
      <c r="D6" s="24" t="n">
        <f aca="false">가정!$B$9*가정!$B$10^(A6-1)*가정!$B$7</f>
        <v>26.7093828125</v>
      </c>
      <c r="E6" s="24" t="n">
        <f aca="false">E5+D6</f>
        <v>116.1678203125</v>
      </c>
      <c r="F6" s="23" t="n">
        <f aca="false">INT(LOG(E6*(가정!$B$14-1)/가정!$B$13+1)/LOG(가정!$B$14))</f>
        <v>7</v>
      </c>
      <c r="G6" s="24" t="n">
        <f aca="false">가정!$B$12+F6*가정!$B$15</f>
        <v>26</v>
      </c>
      <c r="H6" s="25" t="n">
        <f aca="false">C6/G6</f>
        <v>5.42916003846154</v>
      </c>
      <c r="I6" s="25" t="n">
        <f aca="false">I5+H6/60</f>
        <v>0.621432253229018</v>
      </c>
      <c r="J6" s="26" t="str">
        <f aca="false">IF(H6&lt;가정!$B$17,"빠름",IF(H6&gt;가정!$B$18,"느림","적정"))</f>
        <v>적정</v>
      </c>
    </row>
    <row r="7" customFormat="false" ht="15" hidden="false" customHeight="true" outlineLevel="0" collapsed="false">
      <c r="A7" s="23" t="n">
        <v>6</v>
      </c>
      <c r="B7" s="24" t="n">
        <f aca="false">가정!$B$5*가정!$B$6^(A7-1)</f>
        <v>15.386239549</v>
      </c>
      <c r="C7" s="24" t="n">
        <f aca="false">B7*가정!$B$7</f>
        <v>153.86239549</v>
      </c>
      <c r="D7" s="24" t="n">
        <f aca="false">가정!$B$9*가정!$B$10^(A7-1)*가정!$B$7</f>
        <v>28.7125865234375</v>
      </c>
      <c r="E7" s="24" t="n">
        <f aca="false">E6+D7</f>
        <v>144.880406835938</v>
      </c>
      <c r="F7" s="23" t="n">
        <f aca="false">INT(LOG(E7*(가정!$B$14-1)/가정!$B$13+1)/LOG(가정!$B$14))</f>
        <v>8</v>
      </c>
      <c r="G7" s="24" t="n">
        <f aca="false">가정!$B$12+F7*가정!$B$15</f>
        <v>29</v>
      </c>
      <c r="H7" s="25" t="n">
        <f aca="false">C7/G7</f>
        <v>5.30559984448276</v>
      </c>
      <c r="I7" s="25" t="n">
        <f aca="false">I6+H7/60</f>
        <v>0.70985891730373</v>
      </c>
      <c r="J7" s="26" t="str">
        <f aca="false">IF(H7&lt;가정!$B$17,"빠름",IF(H7&gt;가정!$B$18,"느림","적정"))</f>
        <v>적정</v>
      </c>
    </row>
    <row r="8" customFormat="false" ht="15" hidden="false" customHeight="true" outlineLevel="0" collapsed="false">
      <c r="A8" s="23" t="n">
        <v>7</v>
      </c>
      <c r="B8" s="24" t="n">
        <f aca="false">가정!$B$5*가정!$B$6^(A8-1)</f>
        <v>16.77100110841</v>
      </c>
      <c r="C8" s="24" t="n">
        <f aca="false">B8*가정!$B$7</f>
        <v>167.7100110841</v>
      </c>
      <c r="D8" s="24" t="n">
        <f aca="false">가정!$B$9*가정!$B$10^(A8-1)*가정!$B$7</f>
        <v>30.8660305126953</v>
      </c>
      <c r="E8" s="24" t="n">
        <f aca="false">E7+D8</f>
        <v>175.746437348633</v>
      </c>
      <c r="F8" s="23" t="n">
        <f aca="false">INT(LOG(E8*(가정!$B$14-1)/가정!$B$13+1)/LOG(가정!$B$14))</f>
        <v>10</v>
      </c>
      <c r="G8" s="24" t="n">
        <f aca="false">가정!$B$12+F8*가정!$B$15</f>
        <v>35</v>
      </c>
      <c r="H8" s="25" t="n">
        <f aca="false">C8/G8</f>
        <v>4.79171460240286</v>
      </c>
      <c r="I8" s="25" t="n">
        <f aca="false">I7+H8/60</f>
        <v>0.789720827343778</v>
      </c>
      <c r="J8" s="26" t="str">
        <f aca="false">IF(H8&lt;가정!$B$17,"빠름",IF(H8&gt;가정!$B$18,"느림","적정"))</f>
        <v>빠름</v>
      </c>
    </row>
    <row r="9" customFormat="false" ht="15" hidden="false" customHeight="true" outlineLevel="0" collapsed="false">
      <c r="A9" s="23" t="n">
        <v>8</v>
      </c>
      <c r="B9" s="24" t="n">
        <f aca="false">가정!$B$5*가정!$B$6^(A9-1)</f>
        <v>18.2803912081669</v>
      </c>
      <c r="C9" s="24" t="n">
        <f aca="false">B9*가정!$B$7</f>
        <v>182.803912081669</v>
      </c>
      <c r="D9" s="24" t="n">
        <f aca="false">가정!$B$9*가정!$B$10^(A9-1)*가정!$B$7</f>
        <v>33.1809828011475</v>
      </c>
      <c r="E9" s="24" t="n">
        <f aca="false">E8+D9</f>
        <v>208.92742014978</v>
      </c>
      <c r="F9" s="23" t="n">
        <f aca="false">INT(LOG(E9*(가정!$B$14-1)/가정!$B$13+1)/LOG(가정!$B$14))</f>
        <v>11</v>
      </c>
      <c r="G9" s="24" t="n">
        <f aca="false">가정!$B$12+F9*가정!$B$15</f>
        <v>38</v>
      </c>
      <c r="H9" s="25" t="n">
        <f aca="false">C9/G9</f>
        <v>4.81062926530708</v>
      </c>
      <c r="I9" s="25" t="n">
        <f aca="false">I8+H9/60</f>
        <v>0.869897981765562</v>
      </c>
      <c r="J9" s="26" t="str">
        <f aca="false">IF(H9&lt;가정!$B$17,"빠름",IF(H9&gt;가정!$B$18,"느림","적정"))</f>
        <v>빠름</v>
      </c>
    </row>
    <row r="10" customFormat="false" ht="15" hidden="false" customHeight="true" outlineLevel="0" collapsed="false">
      <c r="A10" s="23" t="n">
        <v>9</v>
      </c>
      <c r="B10" s="24" t="n">
        <f aca="false">가정!$B$5*가정!$B$6^(A10-1)</f>
        <v>19.9256264169019</v>
      </c>
      <c r="C10" s="24" t="n">
        <f aca="false">B10*가정!$B$7</f>
        <v>199.256264169019</v>
      </c>
      <c r="D10" s="24" t="n">
        <f aca="false">가정!$B$9*가정!$B$10^(A10-1)*가정!$B$7</f>
        <v>35.6695565112335</v>
      </c>
      <c r="E10" s="24" t="n">
        <f aca="false">E9+D10</f>
        <v>244.596976661014</v>
      </c>
      <c r="F10" s="23" t="n">
        <f aca="false">INT(LOG(E10*(가정!$B$14-1)/가정!$B$13+1)/LOG(가정!$B$14))</f>
        <v>12</v>
      </c>
      <c r="G10" s="24" t="n">
        <f aca="false">가정!$B$12+F10*가정!$B$15</f>
        <v>41</v>
      </c>
      <c r="H10" s="25" t="n">
        <f aca="false">C10/G10</f>
        <v>4.8599088821712</v>
      </c>
      <c r="I10" s="25" t="n">
        <f aca="false">I9+H10/60</f>
        <v>0.950896463135083</v>
      </c>
      <c r="J10" s="26" t="str">
        <f aca="false">IF(H10&lt;가정!$B$17,"빠름",IF(H10&gt;가정!$B$18,"느림","적정"))</f>
        <v>빠름</v>
      </c>
    </row>
    <row r="11" customFormat="false" ht="15" hidden="false" customHeight="true" outlineLevel="0" collapsed="false">
      <c r="A11" s="27" t="n">
        <v>10</v>
      </c>
      <c r="B11" s="28" t="n">
        <f aca="false">가정!$B$5*가정!$B$6^(A11-1)</f>
        <v>21.7189327944231</v>
      </c>
      <c r="C11" s="28" t="n">
        <f aca="false">B11*가정!$B$7</f>
        <v>217.189327944231</v>
      </c>
      <c r="D11" s="28" t="n">
        <f aca="false">가정!$B$9*가정!$B$10^(A11-1)*가정!$B$7</f>
        <v>38.344773249576</v>
      </c>
      <c r="E11" s="28" t="n">
        <f aca="false">E10+D11</f>
        <v>282.94174991059</v>
      </c>
      <c r="F11" s="27" t="n">
        <f aca="false">INT(LOG(E11*(가정!$B$14-1)/가정!$B$13+1)/LOG(가정!$B$14))</f>
        <v>13</v>
      </c>
      <c r="G11" s="28" t="n">
        <f aca="false">가정!$B$12+F11*가정!$B$15</f>
        <v>44</v>
      </c>
      <c r="H11" s="29" t="n">
        <f aca="false">C11/G11</f>
        <v>4.93612108964162</v>
      </c>
      <c r="I11" s="29" t="n">
        <f aca="false">I10+H11/60</f>
        <v>1.03316514796244</v>
      </c>
      <c r="J11" s="30" t="str">
        <f aca="false">IF(H11&lt;가정!$B$17,"빠름",IF(H11&gt;가정!$B$18,"느림","적정"))</f>
        <v>빠름</v>
      </c>
    </row>
    <row r="12" customFormat="false" ht="15" hidden="false" customHeight="true" outlineLevel="0" collapsed="false">
      <c r="A12" s="23" t="n">
        <v>11</v>
      </c>
      <c r="B12" s="24" t="n">
        <f aca="false">가정!$B$5*가정!$B$6^(A12-1)</f>
        <v>23.6736367459212</v>
      </c>
      <c r="C12" s="24" t="n">
        <f aca="false">B12*가정!$B$7</f>
        <v>236.736367459212</v>
      </c>
      <c r="D12" s="24" t="n">
        <f aca="false">가정!$B$9*가정!$B$10^(A12-1)*가정!$B$7</f>
        <v>41.2206312432942</v>
      </c>
      <c r="E12" s="24" t="n">
        <f aca="false">E11+D12</f>
        <v>324.162381153884</v>
      </c>
      <c r="F12" s="23" t="n">
        <f aca="false">INT(LOG(E12*(가정!$B$14-1)/가정!$B$13+1)/LOG(가정!$B$14))</f>
        <v>14</v>
      </c>
      <c r="G12" s="24" t="n">
        <f aca="false">가정!$B$12+F12*가정!$B$15</f>
        <v>47</v>
      </c>
      <c r="H12" s="25" t="n">
        <f aca="false">C12/G12</f>
        <v>5.03694398849387</v>
      </c>
      <c r="I12" s="25" t="n">
        <f aca="false">I11+H12/60</f>
        <v>1.11711421443734</v>
      </c>
      <c r="J12" s="26" t="str">
        <f aca="false">IF(H12&lt;가정!$B$17,"빠름",IF(H12&gt;가정!$B$18,"느림","적정"))</f>
        <v>적정</v>
      </c>
    </row>
    <row r="13" customFormat="false" ht="15" hidden="false" customHeight="true" outlineLevel="0" collapsed="false">
      <c r="A13" s="23" t="n">
        <v>12</v>
      </c>
      <c r="B13" s="24" t="n">
        <f aca="false">가정!$B$5*가정!$B$6^(A13-1)</f>
        <v>25.8042640530541</v>
      </c>
      <c r="C13" s="24" t="n">
        <f aca="false">B13*가정!$B$7</f>
        <v>258.042640530541</v>
      </c>
      <c r="D13" s="24" t="n">
        <f aca="false">가정!$B$9*가정!$B$10^(A13-1)*가정!$B$7</f>
        <v>44.3121785865413</v>
      </c>
      <c r="E13" s="24" t="n">
        <f aca="false">E12+D13</f>
        <v>368.474559740425</v>
      </c>
      <c r="F13" s="23" t="n">
        <f aca="false">INT(LOG(E13*(가정!$B$14-1)/가정!$B$13+1)/LOG(가정!$B$14))</f>
        <v>14</v>
      </c>
      <c r="G13" s="24" t="n">
        <f aca="false">가정!$B$12+F13*가정!$B$15</f>
        <v>47</v>
      </c>
      <c r="H13" s="25" t="n">
        <f aca="false">C13/G13</f>
        <v>5.49026894745832</v>
      </c>
      <c r="I13" s="25" t="n">
        <f aca="false">I12+H13/60</f>
        <v>1.20861869689498</v>
      </c>
      <c r="J13" s="26" t="str">
        <f aca="false">IF(H13&lt;가정!$B$17,"빠름",IF(H13&gt;가정!$B$18,"느림","적정"))</f>
        <v>적정</v>
      </c>
    </row>
    <row r="14" customFormat="false" ht="15" hidden="false" customHeight="true" outlineLevel="0" collapsed="false">
      <c r="A14" s="23" t="n">
        <v>13</v>
      </c>
      <c r="B14" s="24" t="n">
        <f aca="false">가정!$B$5*가정!$B$6^(A14-1)</f>
        <v>28.126647817829</v>
      </c>
      <c r="C14" s="24" t="n">
        <f aca="false">B14*가정!$B$7</f>
        <v>281.26647817829</v>
      </c>
      <c r="D14" s="24" t="n">
        <f aca="false">가정!$B$9*가정!$B$10^(A14-1)*가정!$B$7</f>
        <v>47.6355919805319</v>
      </c>
      <c r="E14" s="24" t="n">
        <f aca="false">E13+D14</f>
        <v>416.110151720957</v>
      </c>
      <c r="F14" s="23" t="n">
        <f aca="false">INT(LOG(E14*(가정!$B$14-1)/가정!$B$13+1)/LOG(가정!$B$14))</f>
        <v>15</v>
      </c>
      <c r="G14" s="24" t="n">
        <f aca="false">가정!$B$12+F14*가정!$B$15</f>
        <v>50</v>
      </c>
      <c r="H14" s="25" t="n">
        <f aca="false">C14/G14</f>
        <v>5.62532956356579</v>
      </c>
      <c r="I14" s="25" t="n">
        <f aca="false">I13+H14/60</f>
        <v>1.30237418962108</v>
      </c>
      <c r="J14" s="26" t="str">
        <f aca="false">IF(H14&lt;가정!$B$17,"빠름",IF(H14&gt;가정!$B$18,"느림","적정"))</f>
        <v>적정</v>
      </c>
    </row>
    <row r="15" customFormat="false" ht="15" hidden="false" customHeight="true" outlineLevel="0" collapsed="false">
      <c r="A15" s="23" t="n">
        <v>14</v>
      </c>
      <c r="B15" s="24" t="n">
        <f aca="false">가정!$B$5*가정!$B$6^(A15-1)</f>
        <v>30.6580461214336</v>
      </c>
      <c r="C15" s="24" t="n">
        <f aca="false">B15*가정!$B$7</f>
        <v>306.580461214336</v>
      </c>
      <c r="D15" s="24" t="n">
        <f aca="false">가정!$B$9*가정!$B$10^(A15-1)*가정!$B$7</f>
        <v>51.2082613790718</v>
      </c>
      <c r="E15" s="24" t="n">
        <f aca="false">E14+D15</f>
        <v>467.318413100029</v>
      </c>
      <c r="F15" s="23" t="n">
        <f aca="false">INT(LOG(E15*(가정!$B$14-1)/가정!$B$13+1)/LOG(가정!$B$14))</f>
        <v>16</v>
      </c>
      <c r="G15" s="24" t="n">
        <f aca="false">가정!$B$12+F15*가정!$B$15</f>
        <v>53</v>
      </c>
      <c r="H15" s="25" t="n">
        <f aca="false">C15/G15</f>
        <v>5.78453700404407</v>
      </c>
      <c r="I15" s="25" t="n">
        <f aca="false">I14+H15/60</f>
        <v>1.39878313968848</v>
      </c>
      <c r="J15" s="26" t="str">
        <f aca="false">IF(H15&lt;가정!$B$17,"빠름",IF(H15&gt;가정!$B$18,"느림","적정"))</f>
        <v>적정</v>
      </c>
    </row>
    <row r="16" customFormat="false" ht="15" hidden="false" customHeight="true" outlineLevel="0" collapsed="false">
      <c r="A16" s="23" t="n">
        <v>15</v>
      </c>
      <c r="B16" s="24" t="n">
        <f aca="false">가정!$B$5*가정!$B$6^(A16-1)</f>
        <v>33.4172702723626</v>
      </c>
      <c r="C16" s="24" t="n">
        <f aca="false">B16*가정!$B$7</f>
        <v>334.172702723626</v>
      </c>
      <c r="D16" s="24" t="n">
        <f aca="false">가정!$B$9*가정!$B$10^(A16-1)*가정!$B$7</f>
        <v>55.0488809825021</v>
      </c>
      <c r="E16" s="24" t="n">
        <f aca="false">E15+D16</f>
        <v>522.367294082531</v>
      </c>
      <c r="F16" s="23" t="n">
        <f aca="false">INT(LOG(E16*(가정!$B$14-1)/가정!$B$13+1)/LOG(가정!$B$14))</f>
        <v>17</v>
      </c>
      <c r="G16" s="24" t="n">
        <f aca="false">가정!$B$12+F16*가정!$B$15</f>
        <v>56</v>
      </c>
      <c r="H16" s="25" t="n">
        <f aca="false">C16/G16</f>
        <v>5.96736969149332</v>
      </c>
      <c r="I16" s="25" t="n">
        <f aca="false">I15+H16/60</f>
        <v>1.49823930121337</v>
      </c>
      <c r="J16" s="26" t="str">
        <f aca="false">IF(H16&lt;가정!$B$17,"빠름",IF(H16&gt;가정!$B$18,"느림","적정"))</f>
        <v>적정</v>
      </c>
    </row>
    <row r="17" customFormat="false" ht="15" hidden="false" customHeight="true" outlineLevel="0" collapsed="false">
      <c r="A17" s="23" t="n">
        <v>16</v>
      </c>
      <c r="B17" s="24" t="n">
        <f aca="false">가정!$B$5*가정!$B$6^(A17-1)</f>
        <v>36.4248245968752</v>
      </c>
      <c r="C17" s="24" t="n">
        <f aca="false">B17*가정!$B$7</f>
        <v>364.248245968752</v>
      </c>
      <c r="D17" s="24" t="n">
        <f aca="false">가정!$B$9*가정!$B$10^(A17-1)*가정!$B$7</f>
        <v>59.1775470561898</v>
      </c>
      <c r="E17" s="24" t="n">
        <f aca="false">E16+D17</f>
        <v>581.544841138721</v>
      </c>
      <c r="F17" s="23" t="n">
        <f aca="false">INT(LOG(E17*(가정!$B$14-1)/가정!$B$13+1)/LOG(가정!$B$14))</f>
        <v>18</v>
      </c>
      <c r="G17" s="24" t="n">
        <f aca="false">가정!$B$12+F17*가정!$B$15</f>
        <v>59</v>
      </c>
      <c r="H17" s="25" t="n">
        <f aca="false">C17/G17</f>
        <v>6.17369908421614</v>
      </c>
      <c r="I17" s="25" t="n">
        <f aca="false">I16+H17/60</f>
        <v>1.6011342859503</v>
      </c>
      <c r="J17" s="26" t="str">
        <f aca="false">IF(H17&lt;가정!$B$17,"빠름",IF(H17&gt;가정!$B$18,"느림","적정"))</f>
        <v>적정</v>
      </c>
    </row>
    <row r="18" customFormat="false" ht="15" hidden="false" customHeight="true" outlineLevel="0" collapsed="false">
      <c r="A18" s="23" t="n">
        <v>17</v>
      </c>
      <c r="B18" s="24" t="n">
        <f aca="false">가정!$B$5*가정!$B$6^(A18-1)</f>
        <v>39.703058810594</v>
      </c>
      <c r="C18" s="24" t="n">
        <f aca="false">B18*가정!$B$7</f>
        <v>397.03058810594</v>
      </c>
      <c r="D18" s="24" t="n">
        <f aca="false">가정!$B$9*가정!$B$10^(A18-1)*가정!$B$7</f>
        <v>63.615863085404</v>
      </c>
      <c r="E18" s="24" t="n">
        <f aca="false">E17+D18</f>
        <v>645.160704224125</v>
      </c>
      <c r="F18" s="23" t="n">
        <f aca="false">INT(LOG(E18*(가정!$B$14-1)/가정!$B$13+1)/LOG(가정!$B$14))</f>
        <v>19</v>
      </c>
      <c r="G18" s="24" t="n">
        <f aca="false">가정!$B$12+F18*가정!$B$15</f>
        <v>62</v>
      </c>
      <c r="H18" s="25" t="n">
        <f aca="false">C18/G18</f>
        <v>6.40371916299904</v>
      </c>
      <c r="I18" s="25" t="n">
        <f aca="false">I17+H18/60</f>
        <v>1.70786293866695</v>
      </c>
      <c r="J18" s="26" t="str">
        <f aca="false">IF(H18&lt;가정!$B$17,"빠름",IF(H18&gt;가정!$B$18,"느림","적정"))</f>
        <v>적정</v>
      </c>
    </row>
    <row r="19" customFormat="false" ht="15" hidden="false" customHeight="true" outlineLevel="0" collapsed="false">
      <c r="A19" s="23" t="n">
        <v>18</v>
      </c>
      <c r="B19" s="24" t="n">
        <f aca="false">가정!$B$5*가정!$B$6^(A19-1)</f>
        <v>43.2763341035475</v>
      </c>
      <c r="C19" s="24" t="n">
        <f aca="false">B19*가정!$B$7</f>
        <v>432.763341035475</v>
      </c>
      <c r="D19" s="24" t="n">
        <f aca="false">가정!$B$9*가정!$B$10^(A19-1)*가정!$B$7</f>
        <v>68.3870528168093</v>
      </c>
      <c r="E19" s="24" t="n">
        <f aca="false">E18+D19</f>
        <v>713.547757040934</v>
      </c>
      <c r="F19" s="23" t="n">
        <f aca="false">INT(LOG(E19*(가정!$B$14-1)/가정!$B$13+1)/LOG(가정!$B$14))</f>
        <v>19</v>
      </c>
      <c r="G19" s="24" t="n">
        <f aca="false">가정!$B$12+F19*가정!$B$15</f>
        <v>62</v>
      </c>
      <c r="H19" s="25" t="n">
        <f aca="false">C19/G19</f>
        <v>6.98005388766895</v>
      </c>
      <c r="I19" s="25" t="n">
        <f aca="false">I18+H19/60</f>
        <v>1.8241971701281</v>
      </c>
      <c r="J19" s="26" t="str">
        <f aca="false">IF(H19&lt;가정!$B$17,"빠름",IF(H19&gt;가정!$B$18,"느림","적정"))</f>
        <v>적정</v>
      </c>
    </row>
    <row r="20" customFormat="false" ht="15" hidden="false" customHeight="true" outlineLevel="0" collapsed="false">
      <c r="A20" s="23" t="n">
        <v>19</v>
      </c>
      <c r="B20" s="24" t="n">
        <f aca="false">가정!$B$5*가정!$B$6^(A20-1)</f>
        <v>47.1712041728668</v>
      </c>
      <c r="C20" s="24" t="n">
        <f aca="false">B20*가정!$B$7</f>
        <v>471.712041728668</v>
      </c>
      <c r="D20" s="24" t="n">
        <f aca="false">가정!$B$9*가정!$B$10^(A20-1)*가정!$B$7</f>
        <v>73.51608177807</v>
      </c>
      <c r="E20" s="24" t="n">
        <f aca="false">E19+D20</f>
        <v>787.063838819004</v>
      </c>
      <c r="F20" s="23" t="n">
        <f aca="false">INT(LOG(E20*(가정!$B$14-1)/가정!$B$13+1)/LOG(가정!$B$14))</f>
        <v>20</v>
      </c>
      <c r="G20" s="24" t="n">
        <f aca="false">가정!$B$12+F20*가정!$B$15</f>
        <v>65</v>
      </c>
      <c r="H20" s="25" t="n">
        <f aca="false">C20/G20</f>
        <v>7.25710833428719</v>
      </c>
      <c r="I20" s="25" t="n">
        <f aca="false">I19+H20/60</f>
        <v>1.94514897569955</v>
      </c>
      <c r="J20" s="26" t="str">
        <f aca="false">IF(H20&lt;가정!$B$17,"빠름",IF(H20&gt;가정!$B$18,"느림","적정"))</f>
        <v>적정</v>
      </c>
    </row>
    <row r="21" customFormat="false" ht="15" hidden="false" customHeight="true" outlineLevel="0" collapsed="false">
      <c r="A21" s="27" t="n">
        <v>20</v>
      </c>
      <c r="B21" s="28" t="n">
        <f aca="false">가정!$B$5*가정!$B$6^(A21-1)</f>
        <v>51.4166125484248</v>
      </c>
      <c r="C21" s="28" t="n">
        <f aca="false">B21*가정!$B$7</f>
        <v>514.166125484248</v>
      </c>
      <c r="D21" s="28" t="n">
        <f aca="false">가정!$B$9*가정!$B$10^(A21-1)*가정!$B$7</f>
        <v>79.0297879114253</v>
      </c>
      <c r="E21" s="28" t="n">
        <f aca="false">E20+D21</f>
        <v>866.09362673043</v>
      </c>
      <c r="F21" s="27" t="n">
        <f aca="false">INT(LOG(E21*(가정!$B$14-1)/가정!$B$13+1)/LOG(가정!$B$14))</f>
        <v>21</v>
      </c>
      <c r="G21" s="28" t="n">
        <f aca="false">가정!$B$12+F21*가정!$B$15</f>
        <v>68</v>
      </c>
      <c r="H21" s="29" t="n">
        <f aca="false">C21/G21</f>
        <v>7.56126655123894</v>
      </c>
      <c r="I21" s="29" t="n">
        <f aca="false">I20+H21/60</f>
        <v>2.07117008488687</v>
      </c>
      <c r="J21" s="30" t="str">
        <f aca="false">IF(H21&lt;가정!$B$17,"빠름",IF(H21&gt;가정!$B$18,"느림","적정"))</f>
        <v>적정</v>
      </c>
    </row>
    <row r="22" customFormat="false" ht="15" hidden="false" customHeight="true" outlineLevel="0" collapsed="false">
      <c r="A22" s="23" t="n">
        <v>21</v>
      </c>
      <c r="B22" s="24" t="n">
        <f aca="false">가정!$B$5*가정!$B$6^(A22-1)</f>
        <v>56.044107677783</v>
      </c>
      <c r="C22" s="24" t="n">
        <f aca="false">B22*가정!$B$7</f>
        <v>560.44107677783</v>
      </c>
      <c r="D22" s="24" t="n">
        <f aca="false">가정!$B$9*가정!$B$10^(A22-1)*가정!$B$7</f>
        <v>84.9570220047822</v>
      </c>
      <c r="E22" s="24" t="n">
        <f aca="false">E21+D22</f>
        <v>951.050648735212</v>
      </c>
      <c r="F22" s="23" t="n">
        <f aca="false">INT(LOG(E22*(가정!$B$14-1)/가정!$B$13+1)/LOG(가정!$B$14))</f>
        <v>22</v>
      </c>
      <c r="G22" s="24" t="n">
        <f aca="false">가정!$B$12+F22*가정!$B$15</f>
        <v>71</v>
      </c>
      <c r="H22" s="25" t="n">
        <f aca="false">C22/G22</f>
        <v>7.89353629264549</v>
      </c>
      <c r="I22" s="25" t="n">
        <f aca="false">I21+H22/60</f>
        <v>2.20272902309763</v>
      </c>
      <c r="J22" s="26" t="str">
        <f aca="false">IF(H22&lt;가정!$B$17,"빠름",IF(H22&gt;가정!$B$18,"느림","적정"))</f>
        <v>적정</v>
      </c>
    </row>
    <row r="23" customFormat="false" ht="15" hidden="false" customHeight="true" outlineLevel="0" collapsed="false">
      <c r="A23" s="23" t="n">
        <v>22</v>
      </c>
      <c r="B23" s="24" t="n">
        <f aca="false">가정!$B$5*가정!$B$6^(A23-1)</f>
        <v>61.0880773687835</v>
      </c>
      <c r="C23" s="24" t="n">
        <f aca="false">B23*가정!$B$7</f>
        <v>610.880773687835</v>
      </c>
      <c r="D23" s="24" t="n">
        <f aca="false">가정!$B$9*가정!$B$10^(A23-1)*가정!$B$7</f>
        <v>91.3287986551408</v>
      </c>
      <c r="E23" s="24" t="n">
        <f aca="false">E22+D23</f>
        <v>1042.37944739035</v>
      </c>
      <c r="F23" s="23" t="n">
        <f aca="false">INT(LOG(E23*(가정!$B$14-1)/가정!$B$13+1)/LOG(가정!$B$14))</f>
        <v>22</v>
      </c>
      <c r="G23" s="24" t="n">
        <f aca="false">가정!$B$12+F23*가정!$B$15</f>
        <v>71</v>
      </c>
      <c r="H23" s="25" t="n">
        <f aca="false">C23/G23</f>
        <v>8.60395455898359</v>
      </c>
      <c r="I23" s="25" t="n">
        <f aca="false">I22+H23/60</f>
        <v>2.34612826574735</v>
      </c>
      <c r="J23" s="26" t="str">
        <f aca="false">IF(H23&lt;가정!$B$17,"빠름",IF(H23&gt;가정!$B$18,"느림","적정"))</f>
        <v>적정</v>
      </c>
    </row>
    <row r="24" customFormat="false" ht="15" hidden="false" customHeight="true" outlineLevel="0" collapsed="false">
      <c r="A24" s="23" t="n">
        <v>23</v>
      </c>
      <c r="B24" s="24" t="n">
        <f aca="false">가정!$B$5*가정!$B$6^(A24-1)</f>
        <v>66.586004331974</v>
      </c>
      <c r="C24" s="24" t="n">
        <f aca="false">B24*가정!$B$7</f>
        <v>665.86004331974</v>
      </c>
      <c r="D24" s="24" t="n">
        <f aca="false">가정!$B$9*가정!$B$10^(A24-1)*가정!$B$7</f>
        <v>98.1784585542764</v>
      </c>
      <c r="E24" s="24" t="n">
        <f aca="false">E23+D24</f>
        <v>1140.55790594463</v>
      </c>
      <c r="F24" s="23" t="n">
        <f aca="false">INT(LOG(E24*(가정!$B$14-1)/가정!$B$13+1)/LOG(가정!$B$14))</f>
        <v>23</v>
      </c>
      <c r="G24" s="24" t="n">
        <f aca="false">가정!$B$12+F24*가정!$B$15</f>
        <v>74</v>
      </c>
      <c r="H24" s="25" t="n">
        <f aca="false">C24/G24</f>
        <v>8.99810869351</v>
      </c>
      <c r="I24" s="25" t="n">
        <f aca="false">I23+H24/60</f>
        <v>2.49609674397252</v>
      </c>
      <c r="J24" s="26" t="str">
        <f aca="false">IF(H24&lt;가정!$B$17,"빠름",IF(H24&gt;가정!$B$18,"느림","적정"))</f>
        <v>적정</v>
      </c>
    </row>
    <row r="25" customFormat="false" ht="15" hidden="false" customHeight="true" outlineLevel="0" collapsed="false">
      <c r="A25" s="23" t="n">
        <v>24</v>
      </c>
      <c r="B25" s="24" t="n">
        <f aca="false">가정!$B$5*가정!$B$6^(A25-1)</f>
        <v>72.5787447218517</v>
      </c>
      <c r="C25" s="24" t="n">
        <f aca="false">B25*가정!$B$7</f>
        <v>725.787447218517</v>
      </c>
      <c r="D25" s="24" t="n">
        <f aca="false">가정!$B$9*가정!$B$10^(A25-1)*가정!$B$7</f>
        <v>105.541842945847</v>
      </c>
      <c r="E25" s="24" t="n">
        <f aca="false">E24+D25</f>
        <v>1246.09974889048</v>
      </c>
      <c r="F25" s="23" t="n">
        <f aca="false">INT(LOG(E25*(가정!$B$14-1)/가정!$B$13+1)/LOG(가정!$B$14))</f>
        <v>24</v>
      </c>
      <c r="G25" s="24" t="n">
        <f aca="false">가정!$B$12+F25*가정!$B$15</f>
        <v>77</v>
      </c>
      <c r="H25" s="25" t="n">
        <f aca="false">C25/G25</f>
        <v>9.42581100283788</v>
      </c>
      <c r="I25" s="25" t="n">
        <f aca="false">I24+H25/60</f>
        <v>2.65319359401982</v>
      </c>
      <c r="J25" s="26" t="str">
        <f aca="false">IF(H25&lt;가정!$B$17,"빠름",IF(H25&gt;가정!$B$18,"느림","적정"))</f>
        <v>적정</v>
      </c>
    </row>
    <row r="26" customFormat="false" ht="15" hidden="false" customHeight="true" outlineLevel="0" collapsed="false">
      <c r="A26" s="23" t="n">
        <v>25</v>
      </c>
      <c r="B26" s="24" t="n">
        <f aca="false">가정!$B$5*가정!$B$6^(A26-1)</f>
        <v>79.1108317468183</v>
      </c>
      <c r="C26" s="24" t="n">
        <f aca="false">B26*가정!$B$7</f>
        <v>791.108317468183</v>
      </c>
      <c r="D26" s="24" t="n">
        <f aca="false">가정!$B$9*가정!$B$10^(A26-1)*가정!$B$7</f>
        <v>113.457481166786</v>
      </c>
      <c r="E26" s="24" t="n">
        <f aca="false">E25+D26</f>
        <v>1359.55723005726</v>
      </c>
      <c r="F26" s="23" t="n">
        <f aca="false">INT(LOG(E26*(가정!$B$14-1)/가정!$B$13+1)/LOG(가정!$B$14))</f>
        <v>25</v>
      </c>
      <c r="G26" s="24" t="n">
        <f aca="false">가정!$B$12+F26*가정!$B$15</f>
        <v>80</v>
      </c>
      <c r="H26" s="25" t="n">
        <f aca="false">C26/G26</f>
        <v>9.88885396835229</v>
      </c>
      <c r="I26" s="25" t="n">
        <f aca="false">I25+H26/60</f>
        <v>2.81800782682569</v>
      </c>
      <c r="J26" s="26" t="str">
        <f aca="false">IF(H26&lt;가정!$B$17,"빠름",IF(H26&gt;가정!$B$18,"느림","적정"))</f>
        <v>적정</v>
      </c>
    </row>
    <row r="27" customFormat="false" ht="15" hidden="false" customHeight="true" outlineLevel="0" collapsed="false">
      <c r="A27" s="23" t="n">
        <v>26</v>
      </c>
      <c r="B27" s="24" t="n">
        <f aca="false">가정!$B$5*가정!$B$6^(A27-1)</f>
        <v>86.230806604032</v>
      </c>
      <c r="C27" s="24" t="n">
        <f aca="false">B27*가정!$B$7</f>
        <v>862.30806604032</v>
      </c>
      <c r="D27" s="24" t="n">
        <f aca="false">가정!$B$9*가정!$B$10^(A27-1)*가정!$B$7</f>
        <v>121.966792254295</v>
      </c>
      <c r="E27" s="24" t="n">
        <f aca="false">E26+D27</f>
        <v>1481.52402231156</v>
      </c>
      <c r="F27" s="23" t="n">
        <f aca="false">INT(LOG(E27*(가정!$B$14-1)/가정!$B$13+1)/LOG(가정!$B$14))</f>
        <v>25</v>
      </c>
      <c r="G27" s="24" t="n">
        <f aca="false">가정!$B$12+F27*가정!$B$15</f>
        <v>80</v>
      </c>
      <c r="H27" s="25" t="n">
        <f aca="false">C27/G27</f>
        <v>10.778850825504</v>
      </c>
      <c r="I27" s="25" t="n">
        <f aca="false">I26+H27/60</f>
        <v>2.99765534058409</v>
      </c>
      <c r="J27" s="26" t="str">
        <f aca="false">IF(H27&lt;가정!$B$17,"빠름",IF(H27&gt;가정!$B$18,"느림","적정"))</f>
        <v>적정</v>
      </c>
    </row>
    <row r="28" customFormat="false" ht="15" hidden="false" customHeight="true" outlineLevel="0" collapsed="false">
      <c r="A28" s="23" t="n">
        <v>27</v>
      </c>
      <c r="B28" s="24" t="n">
        <f aca="false">가정!$B$5*가정!$B$6^(A28-1)</f>
        <v>93.9915791983949</v>
      </c>
      <c r="C28" s="24" t="n">
        <f aca="false">B28*가정!$B$7</f>
        <v>939.915791983949</v>
      </c>
      <c r="D28" s="24" t="n">
        <f aca="false">가정!$B$9*가정!$B$10^(A28-1)*가정!$B$7</f>
        <v>131.114301673367</v>
      </c>
      <c r="E28" s="24" t="n">
        <f aca="false">E27+D28</f>
        <v>1612.63832398492</v>
      </c>
      <c r="F28" s="23" t="n">
        <f aca="false">INT(LOG(E28*(가정!$B$14-1)/가정!$B$13+1)/LOG(가정!$B$14))</f>
        <v>26</v>
      </c>
      <c r="G28" s="24" t="n">
        <f aca="false">가정!$B$12+F28*가정!$B$15</f>
        <v>83</v>
      </c>
      <c r="H28" s="25" t="n">
        <f aca="false">C28/G28</f>
        <v>11.324286650409</v>
      </c>
      <c r="I28" s="25" t="n">
        <f aca="false">I27+H28/60</f>
        <v>3.18639345142424</v>
      </c>
      <c r="J28" s="26" t="str">
        <f aca="false">IF(H28&lt;가정!$B$17,"빠름",IF(H28&gt;가정!$B$18,"느림","적정"))</f>
        <v>적정</v>
      </c>
    </row>
    <row r="29" customFormat="false" ht="15" hidden="false" customHeight="true" outlineLevel="0" collapsed="false">
      <c r="A29" s="23" t="n">
        <v>28</v>
      </c>
      <c r="B29" s="24" t="n">
        <f aca="false">가정!$B$5*가정!$B$6^(A29-1)</f>
        <v>102.45082132625</v>
      </c>
      <c r="C29" s="24" t="n">
        <f aca="false">B29*가정!$B$7</f>
        <v>1024.5082132625</v>
      </c>
      <c r="D29" s="24" t="n">
        <f aca="false">가정!$B$9*가정!$B$10^(A29-1)*가정!$B$7</f>
        <v>140.947874298869</v>
      </c>
      <c r="E29" s="24" t="n">
        <f aca="false">E28+D29</f>
        <v>1753.58619828379</v>
      </c>
      <c r="F29" s="23" t="n">
        <f aca="false">INT(LOG(E29*(가정!$B$14-1)/가정!$B$13+1)/LOG(가정!$B$14))</f>
        <v>27</v>
      </c>
      <c r="G29" s="24" t="n">
        <f aca="false">가정!$B$12+F29*가정!$B$15</f>
        <v>86</v>
      </c>
      <c r="H29" s="25" t="n">
        <f aca="false">C29/G29</f>
        <v>11.9128862007268</v>
      </c>
      <c r="I29" s="25" t="n">
        <f aca="false">I28+H29/60</f>
        <v>3.38494155476969</v>
      </c>
      <c r="J29" s="26" t="str">
        <f aca="false">IF(H29&lt;가정!$B$17,"빠름",IF(H29&gt;가정!$B$18,"느림","적정"))</f>
        <v>적정</v>
      </c>
    </row>
    <row r="30" customFormat="false" ht="15" hidden="false" customHeight="true" outlineLevel="0" collapsed="false">
      <c r="A30" s="23" t="n">
        <v>29</v>
      </c>
      <c r="B30" s="24" t="n">
        <f aca="false">가정!$B$5*가정!$B$6^(A30-1)</f>
        <v>111.671395245613</v>
      </c>
      <c r="C30" s="24" t="n">
        <f aca="false">B30*가정!$B$7</f>
        <v>1116.71395245613</v>
      </c>
      <c r="D30" s="24" t="n">
        <f aca="false">가정!$B$9*가정!$B$10^(A30-1)*가정!$B$7</f>
        <v>151.518964871284</v>
      </c>
      <c r="E30" s="24" t="n">
        <f aca="false">E29+D30</f>
        <v>1905.10516315508</v>
      </c>
      <c r="F30" s="23" t="n">
        <f aca="false">INT(LOG(E30*(가정!$B$14-1)/가정!$B$13+1)/LOG(가정!$B$14))</f>
        <v>27</v>
      </c>
      <c r="G30" s="24" t="n">
        <f aca="false">가정!$B$12+F30*가정!$B$15</f>
        <v>86</v>
      </c>
      <c r="H30" s="25" t="n">
        <f aca="false">C30/G30</f>
        <v>12.9850459587922</v>
      </c>
      <c r="I30" s="25" t="n">
        <f aca="false">I29+H30/60</f>
        <v>3.60135898741622</v>
      </c>
      <c r="J30" s="26" t="str">
        <f aca="false">IF(H30&lt;가정!$B$17,"빠름",IF(H30&gt;가정!$B$18,"느림","적정"))</f>
        <v>적정</v>
      </c>
    </row>
    <row r="31" customFormat="false" ht="15" hidden="false" customHeight="true" outlineLevel="0" collapsed="false">
      <c r="A31" s="27" t="n">
        <v>30</v>
      </c>
      <c r="B31" s="28" t="n">
        <f aca="false">가정!$B$5*가정!$B$6^(A31-1)</f>
        <v>121.721820817718</v>
      </c>
      <c r="C31" s="28" t="n">
        <f aca="false">B31*가정!$B$7</f>
        <v>1217.21820817718</v>
      </c>
      <c r="D31" s="28" t="n">
        <f aca="false">가정!$B$9*가정!$B$10^(A31-1)*가정!$B$7</f>
        <v>162.882887236631</v>
      </c>
      <c r="E31" s="28" t="n">
        <f aca="false">E30+D31</f>
        <v>2067.98805039171</v>
      </c>
      <c r="F31" s="27" t="n">
        <f aca="false">INT(LOG(E31*(가정!$B$14-1)/가정!$B$13+1)/LOG(가정!$B$14))</f>
        <v>28</v>
      </c>
      <c r="G31" s="28" t="n">
        <f aca="false">가정!$B$12+F31*가정!$B$15</f>
        <v>89</v>
      </c>
      <c r="H31" s="29" t="n">
        <f aca="false">C31/G31</f>
        <v>13.6766090806425</v>
      </c>
      <c r="I31" s="29" t="n">
        <f aca="false">I30+H31/60</f>
        <v>3.8293024720936</v>
      </c>
      <c r="J31" s="30" t="str">
        <f aca="false">IF(H31&lt;가정!$B$17,"빠름",IF(H31&gt;가정!$B$18,"느림","적정"))</f>
        <v>적정</v>
      </c>
    </row>
    <row r="32" customFormat="false" ht="15" hidden="false" customHeight="true" outlineLevel="0" collapsed="false">
      <c r="A32" s="23" t="n">
        <v>31</v>
      </c>
      <c r="B32" s="24" t="n">
        <f aca="false">가정!$B$5*가정!$B$6^(A32-1)</f>
        <v>132.676784691313</v>
      </c>
      <c r="C32" s="24" t="n">
        <f aca="false">B32*가정!$B$7</f>
        <v>1326.76784691313</v>
      </c>
      <c r="D32" s="24" t="n">
        <f aca="false">가정!$B$9*가정!$B$10^(A32-1)*가정!$B$7</f>
        <v>175.099103779378</v>
      </c>
      <c r="E32" s="24" t="n">
        <f aca="false">E31+D32</f>
        <v>2243.08715417109</v>
      </c>
      <c r="F32" s="23" t="n">
        <f aca="false">INT(LOG(E32*(가정!$B$14-1)/가정!$B$13+1)/LOG(가정!$B$14))</f>
        <v>29</v>
      </c>
      <c r="G32" s="24" t="n">
        <f aca="false">가정!$B$12+F32*가정!$B$15</f>
        <v>92</v>
      </c>
      <c r="H32" s="25" t="n">
        <f aca="false">C32/G32</f>
        <v>14.4213896403601</v>
      </c>
      <c r="I32" s="25" t="n">
        <f aca="false">I31+H32/60</f>
        <v>4.0696589660996</v>
      </c>
      <c r="J32" s="26" t="str">
        <f aca="false">IF(H32&lt;가정!$B$17,"빠름",IF(H32&gt;가정!$B$18,"느림","적정"))</f>
        <v>적정</v>
      </c>
    </row>
    <row r="33" customFormat="false" ht="15" hidden="false" customHeight="true" outlineLevel="0" collapsed="false">
      <c r="A33" s="23" t="n">
        <v>32</v>
      </c>
      <c r="B33" s="24" t="n">
        <f aca="false">가정!$B$5*가정!$B$6^(A33-1)</f>
        <v>144.617695313531</v>
      </c>
      <c r="C33" s="24" t="n">
        <f aca="false">B33*가정!$B$7</f>
        <v>1446.17695313531</v>
      </c>
      <c r="D33" s="24" t="n">
        <f aca="false">가정!$B$9*가정!$B$10^(A33-1)*가정!$B$7</f>
        <v>188.231536562831</v>
      </c>
      <c r="E33" s="24" t="n">
        <f aca="false">E32+D33</f>
        <v>2431.31869073392</v>
      </c>
      <c r="F33" s="23" t="n">
        <f aca="false">INT(LOG(E33*(가정!$B$14-1)/가정!$B$13+1)/LOG(가정!$B$14))</f>
        <v>30</v>
      </c>
      <c r="G33" s="24" t="n">
        <f aca="false">가정!$B$12+F33*가정!$B$15</f>
        <v>95</v>
      </c>
      <c r="H33" s="25" t="n">
        <f aca="false">C33/G33</f>
        <v>15.2229152961612</v>
      </c>
      <c r="I33" s="25" t="n">
        <f aca="false">I32+H33/60</f>
        <v>4.32337422103562</v>
      </c>
      <c r="J33" s="26" t="str">
        <f aca="false">IF(H33&lt;가정!$B$17,"빠름",IF(H33&gt;가정!$B$18,"느림","적정"))</f>
        <v>적정</v>
      </c>
    </row>
    <row r="34" customFormat="false" ht="15" hidden="false" customHeight="true" outlineLevel="0" collapsed="false">
      <c r="A34" s="23" t="n">
        <v>33</v>
      </c>
      <c r="B34" s="24" t="n">
        <f aca="false">가정!$B$5*가정!$B$6^(A34-1)</f>
        <v>157.633287891749</v>
      </c>
      <c r="C34" s="24" t="n">
        <f aca="false">B34*가정!$B$7</f>
        <v>1576.33287891749</v>
      </c>
      <c r="D34" s="24" t="n">
        <f aca="false">가정!$B$9*가정!$B$10^(A34-1)*가정!$B$7</f>
        <v>202.348901805044</v>
      </c>
      <c r="E34" s="24" t="n">
        <f aca="false">E33+D34</f>
        <v>2633.66759253896</v>
      </c>
      <c r="F34" s="23" t="n">
        <f aca="false">INT(LOG(E34*(가정!$B$14-1)/가정!$B$13+1)/LOG(가정!$B$14))</f>
        <v>30</v>
      </c>
      <c r="G34" s="24" t="n">
        <f aca="false">가정!$B$12+F34*가정!$B$15</f>
        <v>95</v>
      </c>
      <c r="H34" s="25" t="n">
        <f aca="false">C34/G34</f>
        <v>16.5929776728157</v>
      </c>
      <c r="I34" s="25" t="n">
        <f aca="false">I33+H34/60</f>
        <v>4.59992384891588</v>
      </c>
      <c r="J34" s="26" t="str">
        <f aca="false">IF(H34&lt;가정!$B$17,"빠름",IF(H34&gt;가정!$B$18,"느림","적정"))</f>
        <v>적정</v>
      </c>
    </row>
    <row r="35" customFormat="false" ht="15" hidden="false" customHeight="true" outlineLevel="0" collapsed="false">
      <c r="A35" s="23" t="n">
        <v>34</v>
      </c>
      <c r="B35" s="24" t="n">
        <f aca="false">가정!$B$5*가정!$B$6^(A35-1)</f>
        <v>171.820283802006</v>
      </c>
      <c r="C35" s="24" t="n">
        <f aca="false">B35*가정!$B$7</f>
        <v>1718.20283802006</v>
      </c>
      <c r="D35" s="24" t="n">
        <f aca="false">가정!$B$9*가정!$B$10^(A35-1)*가정!$B$7</f>
        <v>217.525069440422</v>
      </c>
      <c r="E35" s="24" t="n">
        <f aca="false">E34+D35</f>
        <v>2851.19266197938</v>
      </c>
      <c r="F35" s="23" t="n">
        <f aca="false">INT(LOG(E35*(가정!$B$14-1)/가정!$B$13+1)/LOG(가정!$B$14))</f>
        <v>31</v>
      </c>
      <c r="G35" s="24" t="n">
        <f aca="false">가정!$B$12+F35*가정!$B$15</f>
        <v>98</v>
      </c>
      <c r="H35" s="25" t="n">
        <f aca="false">C35/G35</f>
        <v>17.5326820206129</v>
      </c>
      <c r="I35" s="25" t="n">
        <f aca="false">I34+H35/60</f>
        <v>4.8921352159261</v>
      </c>
      <c r="J35" s="26" t="str">
        <f aca="false">IF(H35&lt;가정!$B$17,"빠름",IF(H35&gt;가정!$B$18,"느림","적정"))</f>
        <v>적정</v>
      </c>
    </row>
    <row r="36" customFormat="false" ht="15" hidden="false" customHeight="true" outlineLevel="0" collapsed="false">
      <c r="A36" s="23" t="n">
        <v>35</v>
      </c>
      <c r="B36" s="24" t="n">
        <f aca="false">가정!$B$5*가정!$B$6^(A36-1)</f>
        <v>187.284109344187</v>
      </c>
      <c r="C36" s="24" t="n">
        <f aca="false">B36*가정!$B$7</f>
        <v>1872.84109344187</v>
      </c>
      <c r="D36" s="24" t="n">
        <f aca="false">가정!$B$9*가정!$B$10^(A36-1)*가정!$B$7</f>
        <v>233.839449648454</v>
      </c>
      <c r="E36" s="24" t="n">
        <f aca="false">E35+D36</f>
        <v>3085.03211162784</v>
      </c>
      <c r="F36" s="23" t="n">
        <f aca="false">INT(LOG(E36*(가정!$B$14-1)/가정!$B$13+1)/LOG(가정!$B$14))</f>
        <v>32</v>
      </c>
      <c r="G36" s="24" t="n">
        <f aca="false">가정!$B$12+F36*가정!$B$15</f>
        <v>101</v>
      </c>
      <c r="H36" s="25" t="n">
        <f aca="false">C36/G36</f>
        <v>18.5429811231868</v>
      </c>
      <c r="I36" s="25" t="n">
        <f aca="false">I35+H36/60</f>
        <v>5.20118490131254</v>
      </c>
      <c r="J36" s="26" t="str">
        <f aca="false">IF(H36&lt;가정!$B$17,"빠름",IF(H36&gt;가정!$B$18,"느림","적정"))</f>
        <v>적정</v>
      </c>
    </row>
    <row r="37" customFormat="false" ht="15" hidden="false" customHeight="true" outlineLevel="0" collapsed="false">
      <c r="A37" s="23" t="n">
        <v>36</v>
      </c>
      <c r="B37" s="24" t="n">
        <f aca="false">가정!$B$5*가정!$B$6^(A37-1)</f>
        <v>204.139679185164</v>
      </c>
      <c r="C37" s="24" t="n">
        <f aca="false">B37*가정!$B$7</f>
        <v>2041.39679185163</v>
      </c>
      <c r="D37" s="24" t="n">
        <f aca="false">가정!$B$9*가정!$B$10^(A37-1)*가정!$B$7</f>
        <v>251.377408372088</v>
      </c>
      <c r="E37" s="24" t="n">
        <f aca="false">E36+D37</f>
        <v>3336.40951999992</v>
      </c>
      <c r="F37" s="23" t="n">
        <f aca="false">INT(LOG(E37*(가정!$B$14-1)/가정!$B$13+1)/LOG(가정!$B$14))</f>
        <v>32</v>
      </c>
      <c r="G37" s="24" t="n">
        <f aca="false">가정!$B$12+F37*가정!$B$15</f>
        <v>101</v>
      </c>
      <c r="H37" s="25" t="n">
        <f aca="false">C37/G37</f>
        <v>20.2118494242736</v>
      </c>
      <c r="I37" s="25" t="n">
        <f aca="false">I36+H37/60</f>
        <v>5.53804905838377</v>
      </c>
      <c r="J37" s="26" t="str">
        <f aca="false">IF(H37&lt;가정!$B$17,"빠름",IF(H37&gt;가정!$B$18,"느림","적정"))</f>
        <v>적정</v>
      </c>
    </row>
    <row r="38" customFormat="false" ht="15" hidden="false" customHeight="true" outlineLevel="0" collapsed="false">
      <c r="A38" s="23" t="n">
        <v>37</v>
      </c>
      <c r="B38" s="24" t="n">
        <f aca="false">가정!$B$5*가정!$B$6^(A38-1)</f>
        <v>222.512250311828</v>
      </c>
      <c r="C38" s="24" t="n">
        <f aca="false">B38*가정!$B$7</f>
        <v>2225.12250311828</v>
      </c>
      <c r="D38" s="24" t="n">
        <f aca="false">가정!$B$9*가정!$B$10^(A38-1)*가정!$B$7</f>
        <v>270.230713999994</v>
      </c>
      <c r="E38" s="24" t="n">
        <f aca="false">E37+D38</f>
        <v>3606.64023399992</v>
      </c>
      <c r="F38" s="23" t="n">
        <f aca="false">INT(LOG(E38*(가정!$B$14-1)/가정!$B$13+1)/LOG(가정!$B$14))</f>
        <v>33</v>
      </c>
      <c r="G38" s="24" t="n">
        <f aca="false">가정!$B$12+F38*가정!$B$15</f>
        <v>104</v>
      </c>
      <c r="H38" s="25" t="n">
        <f aca="false">C38/G38</f>
        <v>21.3954086838296</v>
      </c>
      <c r="I38" s="25" t="n">
        <f aca="false">I37+H38/60</f>
        <v>5.89463920311426</v>
      </c>
      <c r="J38" s="26" t="str">
        <f aca="false">IF(H38&lt;가정!$B$17,"빠름",IF(H38&gt;가정!$B$18,"느림","적정"))</f>
        <v>적정</v>
      </c>
    </row>
    <row r="39" customFormat="false" ht="15" hidden="false" customHeight="true" outlineLevel="0" collapsed="false">
      <c r="A39" s="23" t="n">
        <v>38</v>
      </c>
      <c r="B39" s="24" t="n">
        <f aca="false">가정!$B$5*가정!$B$6^(A39-1)</f>
        <v>242.538352839893</v>
      </c>
      <c r="C39" s="24" t="n">
        <f aca="false">B39*가정!$B$7</f>
        <v>2425.38352839893</v>
      </c>
      <c r="D39" s="24" t="n">
        <f aca="false">가정!$B$9*가정!$B$10^(A39-1)*가정!$B$7</f>
        <v>290.498017549994</v>
      </c>
      <c r="E39" s="24" t="n">
        <f aca="false">E38+D39</f>
        <v>3897.13825154991</v>
      </c>
      <c r="F39" s="23" t="n">
        <f aca="false">INT(LOG(E39*(가정!$B$14-1)/가정!$B$13+1)/LOG(가정!$B$14))</f>
        <v>34</v>
      </c>
      <c r="G39" s="24" t="n">
        <f aca="false">가정!$B$12+F39*가정!$B$15</f>
        <v>107</v>
      </c>
      <c r="H39" s="25" t="n">
        <f aca="false">C39/G39</f>
        <v>22.6671357794292</v>
      </c>
      <c r="I39" s="25" t="n">
        <f aca="false">I38+H39/60</f>
        <v>6.27242479943808</v>
      </c>
      <c r="J39" s="26" t="str">
        <f aca="false">IF(H39&lt;가정!$B$17,"빠름",IF(H39&gt;가정!$B$18,"느림","적정"))</f>
        <v>적정</v>
      </c>
    </row>
    <row r="40" customFormat="false" ht="15" hidden="false" customHeight="true" outlineLevel="0" collapsed="false">
      <c r="A40" s="23" t="n">
        <v>39</v>
      </c>
      <c r="B40" s="24" t="n">
        <f aca="false">가정!$B$5*가정!$B$6^(A40-1)</f>
        <v>264.366804595483</v>
      </c>
      <c r="C40" s="24" t="n">
        <f aca="false">B40*가정!$B$7</f>
        <v>2643.66804595483</v>
      </c>
      <c r="D40" s="24" t="n">
        <f aca="false">가정!$B$9*가정!$B$10^(A40-1)*가정!$B$7</f>
        <v>312.285368866243</v>
      </c>
      <c r="E40" s="24" t="n">
        <f aca="false">E39+D40</f>
        <v>4209.42362041615</v>
      </c>
      <c r="F40" s="23" t="n">
        <f aca="false">INT(LOG(E40*(가정!$B$14-1)/가정!$B$13+1)/LOG(가정!$B$14))</f>
        <v>34</v>
      </c>
      <c r="G40" s="24" t="n">
        <f aca="false">가정!$B$12+F40*가정!$B$15</f>
        <v>107</v>
      </c>
      <c r="H40" s="25" t="n">
        <f aca="false">C40/G40</f>
        <v>24.7071779995779</v>
      </c>
      <c r="I40" s="25" t="n">
        <f aca="false">I39+H40/60</f>
        <v>6.68421109943105</v>
      </c>
      <c r="J40" s="26" t="str">
        <f aca="false">IF(H40&lt;가정!$B$17,"빠름",IF(H40&gt;가정!$B$18,"느림","적정"))</f>
        <v>적정</v>
      </c>
    </row>
    <row r="41" customFormat="false" ht="15" hidden="false" customHeight="true" outlineLevel="0" collapsed="false">
      <c r="A41" s="27" t="n">
        <v>40</v>
      </c>
      <c r="B41" s="28" t="n">
        <f aca="false">가정!$B$5*가정!$B$6^(A41-1)</f>
        <v>288.159817009077</v>
      </c>
      <c r="C41" s="28" t="n">
        <f aca="false">B41*가정!$B$7</f>
        <v>2881.59817009077</v>
      </c>
      <c r="D41" s="28" t="n">
        <f aca="false">가정!$B$9*가정!$B$10^(A41-1)*가정!$B$7</f>
        <v>335.706771531211</v>
      </c>
      <c r="E41" s="28" t="n">
        <f aca="false">E40+D41</f>
        <v>4545.13039194737</v>
      </c>
      <c r="F41" s="27" t="n">
        <f aca="false">INT(LOG(E41*(가정!$B$14-1)/가정!$B$13+1)/LOG(가정!$B$14))</f>
        <v>35</v>
      </c>
      <c r="G41" s="28" t="n">
        <f aca="false">가정!$B$12+F41*가정!$B$15</f>
        <v>110</v>
      </c>
      <c r="H41" s="29" t="n">
        <f aca="false">C41/G41</f>
        <v>26.1963470008251</v>
      </c>
      <c r="I41" s="29" t="n">
        <f aca="false">I40+H41/60</f>
        <v>7.12081688277813</v>
      </c>
      <c r="J41" s="30" t="str">
        <f aca="false">IF(H41&lt;가정!$B$17,"빠름",IF(H41&gt;가정!$B$18,"느림","적정"))</f>
        <v>적정</v>
      </c>
    </row>
    <row r="42" customFormat="false" ht="15" hidden="false" customHeight="true" outlineLevel="0" collapsed="false">
      <c r="A42" s="23" t="n">
        <v>41</v>
      </c>
      <c r="B42" s="24" t="n">
        <f aca="false">가정!$B$5*가정!$B$6^(A42-1)</f>
        <v>314.094200539894</v>
      </c>
      <c r="C42" s="24" t="n">
        <f aca="false">B42*가정!$B$7</f>
        <v>3140.94200539894</v>
      </c>
      <c r="D42" s="24" t="n">
        <f aca="false">가정!$B$9*가정!$B$10^(A42-1)*가정!$B$7</f>
        <v>360.884779396052</v>
      </c>
      <c r="E42" s="24" t="n">
        <f aca="false">E41+D42</f>
        <v>4906.01517134342</v>
      </c>
      <c r="F42" s="23" t="n">
        <f aca="false">INT(LOG(E42*(가정!$B$14-1)/가정!$B$13+1)/LOG(가정!$B$14))</f>
        <v>36</v>
      </c>
      <c r="G42" s="24" t="n">
        <f aca="false">가정!$B$12+F42*가정!$B$15</f>
        <v>113</v>
      </c>
      <c r="H42" s="25" t="n">
        <f aca="false">C42/G42</f>
        <v>27.7959469504331</v>
      </c>
      <c r="I42" s="25" t="n">
        <f aca="false">I41+H42/60</f>
        <v>7.58408266528535</v>
      </c>
      <c r="J42" s="26" t="str">
        <f aca="false">IF(H42&lt;가정!$B$17,"빠름",IF(H42&gt;가정!$B$18,"느림","적정"))</f>
        <v>적정</v>
      </c>
    </row>
    <row r="43" customFormat="false" ht="15" hidden="false" customHeight="true" outlineLevel="0" collapsed="false">
      <c r="A43" s="23" t="n">
        <v>42</v>
      </c>
      <c r="B43" s="24" t="n">
        <f aca="false">가정!$B$5*가정!$B$6^(A43-1)</f>
        <v>342.362678588484</v>
      </c>
      <c r="C43" s="24" t="n">
        <f aca="false">B43*가정!$B$7</f>
        <v>3423.62678588484</v>
      </c>
      <c r="D43" s="24" t="n">
        <f aca="false">가정!$B$9*가정!$B$10^(A43-1)*가정!$B$7</f>
        <v>387.951137850756</v>
      </c>
      <c r="E43" s="24" t="n">
        <f aca="false">E42+D43</f>
        <v>5293.96630919417</v>
      </c>
      <c r="F43" s="23" t="n">
        <f aca="false">INT(LOG(E43*(가정!$B$14-1)/가정!$B$13+1)/LOG(가정!$B$14))</f>
        <v>36</v>
      </c>
      <c r="G43" s="24" t="n">
        <f aca="false">가정!$B$12+F43*가정!$B$15</f>
        <v>113</v>
      </c>
      <c r="H43" s="25" t="n">
        <f aca="false">C43/G43</f>
        <v>30.297582175972</v>
      </c>
      <c r="I43" s="25" t="n">
        <f aca="false">I42+H43/60</f>
        <v>8.08904236821822</v>
      </c>
      <c r="J43" s="26" t="str">
        <f aca="false">IF(H43&lt;가정!$B$17,"빠름",IF(H43&gt;가정!$B$18,"느림","적정"))</f>
        <v>적정</v>
      </c>
    </row>
    <row r="44" customFormat="false" ht="15" hidden="false" customHeight="true" outlineLevel="0" collapsed="false">
      <c r="A44" s="23" t="n">
        <v>43</v>
      </c>
      <c r="B44" s="24" t="n">
        <f aca="false">가정!$B$5*가정!$B$6^(A44-1)</f>
        <v>373.175319661448</v>
      </c>
      <c r="C44" s="24" t="n">
        <f aca="false">B44*가정!$B$7</f>
        <v>3731.75319661448</v>
      </c>
      <c r="D44" s="24" t="n">
        <f aca="false">가정!$B$9*가정!$B$10^(A44-1)*가정!$B$7</f>
        <v>417.047473189563</v>
      </c>
      <c r="E44" s="24" t="n">
        <f aca="false">E43+D44</f>
        <v>5711.01378238374</v>
      </c>
      <c r="F44" s="23" t="n">
        <f aca="false">INT(LOG(E44*(가정!$B$14-1)/가정!$B$13+1)/LOG(가정!$B$14))</f>
        <v>37</v>
      </c>
      <c r="G44" s="24" t="n">
        <f aca="false">가정!$B$12+F44*가정!$B$15</f>
        <v>116</v>
      </c>
      <c r="H44" s="25" t="n">
        <f aca="false">C44/G44</f>
        <v>32.170286177711</v>
      </c>
      <c r="I44" s="25" t="n">
        <f aca="false">I43+H44/60</f>
        <v>8.6252138045134</v>
      </c>
      <c r="J44" s="26" t="str">
        <f aca="false">IF(H44&lt;가정!$B$17,"빠름",IF(H44&gt;가정!$B$18,"느림","적정"))</f>
        <v>적정</v>
      </c>
    </row>
    <row r="45" customFormat="false" ht="15" hidden="false" customHeight="true" outlineLevel="0" collapsed="false">
      <c r="A45" s="23" t="n">
        <v>44</v>
      </c>
      <c r="B45" s="24" t="n">
        <f aca="false">가정!$B$5*가정!$B$6^(A45-1)</f>
        <v>406.761098430978</v>
      </c>
      <c r="C45" s="24" t="n">
        <f aca="false">B45*가정!$B$7</f>
        <v>4067.61098430978</v>
      </c>
      <c r="D45" s="24" t="n">
        <f aca="false">가정!$B$9*가정!$B$10^(A45-1)*가정!$B$7</f>
        <v>448.32603367878</v>
      </c>
      <c r="E45" s="24" t="n">
        <f aca="false">E44+D45</f>
        <v>6159.33981606252</v>
      </c>
      <c r="F45" s="23" t="n">
        <f aca="false">INT(LOG(E45*(가정!$B$14-1)/가정!$B$13+1)/LOG(가정!$B$14))</f>
        <v>38</v>
      </c>
      <c r="G45" s="24" t="n">
        <f aca="false">가정!$B$12+F45*가정!$B$15</f>
        <v>119</v>
      </c>
      <c r="H45" s="25" t="n">
        <f aca="false">C45/G45</f>
        <v>34.1816049101662</v>
      </c>
      <c r="I45" s="25" t="n">
        <f aca="false">I44+H45/60</f>
        <v>9.19490721968284</v>
      </c>
      <c r="J45" s="26" t="str">
        <f aca="false">IF(H45&lt;가정!$B$17,"빠름",IF(H45&gt;가정!$B$18,"느림","적정"))</f>
        <v>적정</v>
      </c>
    </row>
    <row r="46" customFormat="false" ht="15" hidden="false" customHeight="true" outlineLevel="0" collapsed="false">
      <c r="A46" s="23" t="n">
        <v>45</v>
      </c>
      <c r="B46" s="24" t="n">
        <f aca="false">가정!$B$5*가정!$B$6^(A46-1)</f>
        <v>443.369597289766</v>
      </c>
      <c r="C46" s="24" t="n">
        <f aca="false">B46*가정!$B$7</f>
        <v>4433.69597289766</v>
      </c>
      <c r="D46" s="24" t="n">
        <f aca="false">가정!$B$9*가정!$B$10^(A46-1)*가정!$B$7</f>
        <v>481.950486204688</v>
      </c>
      <c r="E46" s="24" t="n">
        <f aca="false">E45+D46</f>
        <v>6641.2903022672</v>
      </c>
      <c r="F46" s="23" t="n">
        <f aca="false">INT(LOG(E46*(가정!$B$14-1)/가정!$B$13+1)/LOG(가정!$B$14))</f>
        <v>38</v>
      </c>
      <c r="G46" s="24" t="n">
        <f aca="false">가정!$B$12+F46*가정!$B$15</f>
        <v>119</v>
      </c>
      <c r="H46" s="25" t="n">
        <f aca="false">C46/G46</f>
        <v>37.2579493520812</v>
      </c>
      <c r="I46" s="25" t="n">
        <f aca="false">I45+H46/60</f>
        <v>9.81587304221752</v>
      </c>
      <c r="J46" s="26" t="str">
        <f aca="false">IF(H46&lt;가정!$B$17,"빠름",IF(H46&gt;가정!$B$18,"느림","적정"))</f>
        <v>적정</v>
      </c>
    </row>
    <row r="47" customFormat="false" ht="15" hidden="false" customHeight="true" outlineLevel="0" collapsed="false">
      <c r="A47" s="23" t="n">
        <v>46</v>
      </c>
      <c r="B47" s="24" t="n">
        <f aca="false">가정!$B$5*가정!$B$6^(A47-1)</f>
        <v>483.272861045845</v>
      </c>
      <c r="C47" s="24" t="n">
        <f aca="false">B47*가정!$B$7</f>
        <v>4832.72861045845</v>
      </c>
      <c r="D47" s="24" t="n">
        <f aca="false">가정!$B$9*가정!$B$10^(A47-1)*가정!$B$7</f>
        <v>518.09677267004</v>
      </c>
      <c r="E47" s="24" t="n">
        <f aca="false">E46+D47</f>
        <v>7159.38707493724</v>
      </c>
      <c r="F47" s="23" t="n">
        <f aca="false">INT(LOG(E47*(가정!$B$14-1)/가정!$B$13+1)/LOG(가정!$B$14))</f>
        <v>39</v>
      </c>
      <c r="G47" s="24" t="n">
        <f aca="false">가정!$B$12+F47*가정!$B$15</f>
        <v>122</v>
      </c>
      <c r="H47" s="25" t="n">
        <f aca="false">C47/G47</f>
        <v>39.6125295939217</v>
      </c>
      <c r="I47" s="25" t="n">
        <f aca="false">I46+H47/60</f>
        <v>10.4760818687829</v>
      </c>
      <c r="J47" s="26" t="str">
        <f aca="false">IF(H47&lt;가정!$B$17,"빠름",IF(H47&gt;가정!$B$18,"느림","적정"))</f>
        <v>적정</v>
      </c>
    </row>
    <row r="48" customFormat="false" ht="15" hidden="false" customHeight="true" outlineLevel="0" collapsed="false">
      <c r="A48" s="23" t="n">
        <v>47</v>
      </c>
      <c r="B48" s="24" t="n">
        <f aca="false">가정!$B$5*가정!$B$6^(A48-1)</f>
        <v>526.767418539971</v>
      </c>
      <c r="C48" s="24" t="n">
        <f aca="false">B48*가정!$B$7</f>
        <v>5267.67418539971</v>
      </c>
      <c r="D48" s="24" t="n">
        <f aca="false">가정!$B$9*가정!$B$10^(A48-1)*가정!$B$7</f>
        <v>556.954030620293</v>
      </c>
      <c r="E48" s="24" t="n">
        <f aca="false">E47+D48</f>
        <v>7716.34110555754</v>
      </c>
      <c r="F48" s="23" t="n">
        <f aca="false">INT(LOG(E48*(가정!$B$14-1)/가정!$B$13+1)/LOG(가정!$B$14))</f>
        <v>40</v>
      </c>
      <c r="G48" s="24" t="n">
        <f aca="false">가정!$B$12+F48*가정!$B$15</f>
        <v>125</v>
      </c>
      <c r="H48" s="25" t="n">
        <f aca="false">C48/G48</f>
        <v>42.1413934831977</v>
      </c>
      <c r="I48" s="25" t="n">
        <f aca="false">I47+H48/60</f>
        <v>11.1784384268362</v>
      </c>
      <c r="J48" s="26" t="str">
        <f aca="false">IF(H48&lt;가정!$B$17,"빠름",IF(H48&gt;가정!$B$18,"느림","적정"))</f>
        <v>적정</v>
      </c>
    </row>
    <row r="49" customFormat="false" ht="15" hidden="false" customHeight="true" outlineLevel="0" collapsed="false">
      <c r="A49" s="23" t="n">
        <v>48</v>
      </c>
      <c r="B49" s="24" t="n">
        <f aca="false">가정!$B$5*가정!$B$6^(A49-1)</f>
        <v>574.176486208569</v>
      </c>
      <c r="C49" s="24" t="n">
        <f aca="false">B49*가정!$B$7</f>
        <v>5741.76486208568</v>
      </c>
      <c r="D49" s="24" t="n">
        <f aca="false">가정!$B$9*가정!$B$10^(A49-1)*가정!$B$7</f>
        <v>598.725582916815</v>
      </c>
      <c r="E49" s="24" t="n">
        <f aca="false">E48+D49</f>
        <v>8315.06668847435</v>
      </c>
      <c r="F49" s="23" t="n">
        <f aca="false">INT(LOG(E49*(가정!$B$14-1)/가정!$B$13+1)/LOG(가정!$B$14))</f>
        <v>40</v>
      </c>
      <c r="G49" s="24" t="n">
        <f aca="false">가정!$B$12+F49*가정!$B$15</f>
        <v>125</v>
      </c>
      <c r="H49" s="25" t="n">
        <f aca="false">C49/G49</f>
        <v>45.9341188966855</v>
      </c>
      <c r="I49" s="25" t="n">
        <f aca="false">I48+H49/60</f>
        <v>11.9440070751143</v>
      </c>
      <c r="J49" s="26" t="str">
        <f aca="false">IF(H49&lt;가정!$B$17,"빠름",IF(H49&gt;가정!$B$18,"느림","적정"))</f>
        <v>느림</v>
      </c>
    </row>
    <row r="50" customFormat="false" ht="15" hidden="false" customHeight="true" outlineLevel="0" collapsed="false">
      <c r="A50" s="23" t="n">
        <v>49</v>
      </c>
      <c r="B50" s="24" t="n">
        <f aca="false">가정!$B$5*가정!$B$6^(A50-1)</f>
        <v>625.85236996734</v>
      </c>
      <c r="C50" s="24" t="n">
        <f aca="false">B50*가정!$B$7</f>
        <v>6258.5236996734</v>
      </c>
      <c r="D50" s="24" t="n">
        <f aca="false">가정!$B$9*가정!$B$10^(A50-1)*가정!$B$7</f>
        <v>643.630001635576</v>
      </c>
      <c r="E50" s="24" t="n">
        <f aca="false">E49+D50</f>
        <v>8958.69669010993</v>
      </c>
      <c r="F50" s="23" t="n">
        <f aca="false">INT(LOG(E50*(가정!$B$14-1)/가정!$B$13+1)/LOG(가정!$B$14))</f>
        <v>41</v>
      </c>
      <c r="G50" s="24" t="n">
        <f aca="false">가정!$B$12+F50*가정!$B$15</f>
        <v>128</v>
      </c>
      <c r="H50" s="25" t="n">
        <f aca="false">C50/G50</f>
        <v>48.8947164036984</v>
      </c>
      <c r="I50" s="25" t="n">
        <f aca="false">I49+H50/60</f>
        <v>12.7589190151759</v>
      </c>
      <c r="J50" s="26" t="str">
        <f aca="false">IF(H50&lt;가정!$B$17,"빠름",IF(H50&gt;가정!$B$18,"느림","적정"))</f>
        <v>느림</v>
      </c>
    </row>
    <row r="51" customFormat="false" ht="15" hidden="false" customHeight="true" outlineLevel="0" collapsed="false">
      <c r="A51" s="27" t="n">
        <v>50</v>
      </c>
      <c r="B51" s="28" t="n">
        <f aca="false">가정!$B$5*가정!$B$6^(A51-1)</f>
        <v>682.1790832644</v>
      </c>
      <c r="C51" s="28" t="n">
        <f aca="false">B51*가정!$B$7</f>
        <v>6821.790832644</v>
      </c>
      <c r="D51" s="28" t="n">
        <f aca="false">가정!$B$9*가정!$B$10^(A51-1)*가정!$B$7</f>
        <v>691.902251758244</v>
      </c>
      <c r="E51" s="28" t="n">
        <f aca="false">E50+D51</f>
        <v>9650.59894186817</v>
      </c>
      <c r="F51" s="27" t="n">
        <f aca="false">INT(LOG(E51*(가정!$B$14-1)/가정!$B$13+1)/LOG(가정!$B$14))</f>
        <v>42</v>
      </c>
      <c r="G51" s="28" t="n">
        <f aca="false">가정!$B$12+F51*가정!$B$15</f>
        <v>131</v>
      </c>
      <c r="H51" s="29" t="n">
        <f aca="false">C51/G51</f>
        <v>52.0747391804886</v>
      </c>
      <c r="I51" s="29" t="n">
        <f aca="false">I50+H51/60</f>
        <v>13.6268313348507</v>
      </c>
      <c r="J51" s="30" t="str">
        <f aca="false">IF(H51&lt;가정!$B$17,"빠름",IF(H51&gt;가정!$B$18,"느림","적정"))</f>
        <v>느림</v>
      </c>
    </row>
    <row r="52" customFormat="false" ht="15" hidden="false" customHeight="true" outlineLevel="0" collapsed="false">
      <c r="A52" s="23" t="n">
        <v>51</v>
      </c>
      <c r="B52" s="24" t="n">
        <f aca="false">가정!$B$5*가정!$B$6^(A52-1)</f>
        <v>743.575200758196</v>
      </c>
      <c r="C52" s="24" t="n">
        <f aca="false">B52*가정!$B$7</f>
        <v>7435.75200758196</v>
      </c>
      <c r="D52" s="24" t="n">
        <f aca="false">가정!$B$9*가정!$B$10^(A52-1)*가정!$B$7</f>
        <v>743.794920640113</v>
      </c>
      <c r="E52" s="24" t="n">
        <f aca="false">E51+D52</f>
        <v>10394.3938625083</v>
      </c>
      <c r="F52" s="23" t="n">
        <f aca="false">INT(LOG(E52*(가정!$B$14-1)/가정!$B$13+1)/LOG(가정!$B$14))</f>
        <v>42</v>
      </c>
      <c r="G52" s="24" t="n">
        <f aca="false">가정!$B$12+F52*가정!$B$15</f>
        <v>131</v>
      </c>
      <c r="H52" s="25" t="n">
        <f aca="false">C52/G52</f>
        <v>56.7614657067326</v>
      </c>
      <c r="I52" s="25" t="n">
        <f aca="false">I51+H52/60</f>
        <v>14.5728557632963</v>
      </c>
      <c r="J52" s="26" t="str">
        <f aca="false">IF(H52&lt;가정!$B$17,"빠름",IF(H52&gt;가정!$B$18,"느림","적정"))</f>
        <v>느림</v>
      </c>
    </row>
    <row r="53" customFormat="false" ht="15" hidden="false" customHeight="true" outlineLevel="0" collapsed="false">
      <c r="A53" s="23" t="n">
        <v>52</v>
      </c>
      <c r="B53" s="24" t="n">
        <f aca="false">가정!$B$5*가정!$B$6^(A53-1)</f>
        <v>810.496968826434</v>
      </c>
      <c r="C53" s="24" t="n">
        <f aca="false">B53*가정!$B$7</f>
        <v>8104.96968826434</v>
      </c>
      <c r="D53" s="24" t="n">
        <f aca="false">가정!$B$9*가정!$B$10^(A53-1)*가정!$B$7</f>
        <v>799.579539688121</v>
      </c>
      <c r="E53" s="24" t="n">
        <f aca="false">E52+D53</f>
        <v>11193.9734021964</v>
      </c>
      <c r="F53" s="23" t="n">
        <f aca="false">INT(LOG(E53*(가정!$B$14-1)/가정!$B$13+1)/LOG(가정!$B$14))</f>
        <v>43</v>
      </c>
      <c r="G53" s="24" t="n">
        <f aca="false">가정!$B$12+F53*가정!$B$15</f>
        <v>134</v>
      </c>
      <c r="H53" s="25" t="n">
        <f aca="false">C53/G53</f>
        <v>60.4848484198831</v>
      </c>
      <c r="I53" s="25" t="n">
        <f aca="false">I52+H53/60</f>
        <v>15.5809365702943</v>
      </c>
      <c r="J53" s="26" t="str">
        <f aca="false">IF(H53&lt;가정!$B$17,"빠름",IF(H53&gt;가정!$B$18,"느림","적정"))</f>
        <v>느림</v>
      </c>
    </row>
    <row r="54" customFormat="false" ht="15" hidden="false" customHeight="true" outlineLevel="0" collapsed="false">
      <c r="A54" s="23" t="n">
        <v>53</v>
      </c>
      <c r="B54" s="24" t="n">
        <f aca="false">가정!$B$5*가정!$B$6^(A54-1)</f>
        <v>883.441696020813</v>
      </c>
      <c r="C54" s="24" t="n">
        <f aca="false">B54*가정!$B$7</f>
        <v>8834.41696020813</v>
      </c>
      <c r="D54" s="24" t="n">
        <f aca="false">가정!$B$9*가정!$B$10^(A54-1)*가정!$B$7</f>
        <v>859.54800516473</v>
      </c>
      <c r="E54" s="24" t="n">
        <f aca="false">E53+D54</f>
        <v>12053.5214073611</v>
      </c>
      <c r="F54" s="23" t="n">
        <f aca="false">INT(LOG(E54*(가정!$B$14-1)/가정!$B$13+1)/LOG(가정!$B$14))</f>
        <v>43</v>
      </c>
      <c r="G54" s="24" t="n">
        <f aca="false">가정!$B$12+F54*가정!$B$15</f>
        <v>134</v>
      </c>
      <c r="H54" s="25" t="n">
        <f aca="false">C54/G54</f>
        <v>65.9284847776726</v>
      </c>
      <c r="I54" s="25" t="n">
        <f aca="false">I53+H54/60</f>
        <v>16.6797446499222</v>
      </c>
      <c r="J54" s="26" t="str">
        <f aca="false">IF(H54&lt;가정!$B$17,"빠름",IF(H54&gt;가정!$B$18,"느림","적정"))</f>
        <v>느림</v>
      </c>
    </row>
    <row r="55" customFormat="false" ht="15" hidden="false" customHeight="true" outlineLevel="0" collapsed="false">
      <c r="A55" s="23" t="n">
        <v>54</v>
      </c>
      <c r="B55" s="24" t="n">
        <f aca="false">가정!$B$5*가정!$B$6^(A55-1)</f>
        <v>962.951448662686</v>
      </c>
      <c r="C55" s="24" t="n">
        <f aca="false">B55*가정!$B$7</f>
        <v>9629.51448662686</v>
      </c>
      <c r="D55" s="24" t="n">
        <f aca="false">가정!$B$9*가정!$B$10^(A55-1)*가정!$B$7</f>
        <v>924.014105552085</v>
      </c>
      <c r="E55" s="24" t="n">
        <f aca="false">E54+D55</f>
        <v>12977.5355129132</v>
      </c>
      <c r="F55" s="23" t="n">
        <f aca="false">INT(LOG(E55*(가정!$B$14-1)/가정!$B$13+1)/LOG(가정!$B$14))</f>
        <v>44</v>
      </c>
      <c r="G55" s="24" t="n">
        <f aca="false">가정!$B$12+F55*가정!$B$15</f>
        <v>137</v>
      </c>
      <c r="H55" s="25" t="n">
        <f aca="false">C55/G55</f>
        <v>70.2884269096851</v>
      </c>
      <c r="I55" s="25" t="n">
        <f aca="false">I54+H55/60</f>
        <v>17.8512184317503</v>
      </c>
      <c r="J55" s="26" t="str">
        <f aca="false">IF(H55&lt;가정!$B$17,"빠름",IF(H55&gt;가정!$B$18,"느림","적정"))</f>
        <v>느림</v>
      </c>
    </row>
    <row r="56" customFormat="false" ht="15" hidden="false" customHeight="true" outlineLevel="0" collapsed="false">
      <c r="A56" s="23" t="n">
        <v>55</v>
      </c>
      <c r="B56" s="24" t="n">
        <f aca="false">가정!$B$5*가정!$B$6^(A56-1)</f>
        <v>1049.61707904233</v>
      </c>
      <c r="C56" s="24" t="n">
        <f aca="false">B56*가정!$B$7</f>
        <v>10496.1707904233</v>
      </c>
      <c r="D56" s="24" t="n">
        <f aca="false">가정!$B$9*가정!$B$10^(A56-1)*가정!$B$7</f>
        <v>993.315163468491</v>
      </c>
      <c r="E56" s="24" t="n">
        <f aca="false">E55+D56</f>
        <v>13970.8506763817</v>
      </c>
      <c r="F56" s="23" t="n">
        <f aca="false">INT(LOG(E56*(가정!$B$14-1)/가정!$B$13+1)/LOG(가정!$B$14))</f>
        <v>45</v>
      </c>
      <c r="G56" s="24" t="n">
        <f aca="false">가정!$B$12+F56*가정!$B$15</f>
        <v>140</v>
      </c>
      <c r="H56" s="25" t="n">
        <f aca="false">C56/G56</f>
        <v>74.9726485030235</v>
      </c>
      <c r="I56" s="25" t="n">
        <f aca="false">I55+H56/60</f>
        <v>19.1007625734673</v>
      </c>
      <c r="J56" s="26" t="str">
        <f aca="false">IF(H56&lt;가정!$B$17,"빠름",IF(H56&gt;가정!$B$18,"느림","적정"))</f>
        <v>느림</v>
      </c>
    </row>
    <row r="57" customFormat="false" ht="15" hidden="false" customHeight="true" outlineLevel="0" collapsed="false">
      <c r="A57" s="23" t="n">
        <v>56</v>
      </c>
      <c r="B57" s="24" t="n">
        <f aca="false">가정!$B$5*가정!$B$6^(A57-1)</f>
        <v>1144.08261615614</v>
      </c>
      <c r="C57" s="24" t="n">
        <f aca="false">B57*가정!$B$7</f>
        <v>11440.8261615614</v>
      </c>
      <c r="D57" s="24" t="n">
        <f aca="false">가정!$B$9*가정!$B$10^(A57-1)*가정!$B$7</f>
        <v>1067.81380072863</v>
      </c>
      <c r="E57" s="24" t="n">
        <f aca="false">E56+D57</f>
        <v>15038.6644771103</v>
      </c>
      <c r="F57" s="23" t="n">
        <f aca="false">INT(LOG(E57*(가정!$B$14-1)/가정!$B$13+1)/LOG(가정!$B$14))</f>
        <v>45</v>
      </c>
      <c r="G57" s="24" t="n">
        <f aca="false">가정!$B$12+F57*가정!$B$15</f>
        <v>140</v>
      </c>
      <c r="H57" s="25" t="n">
        <f aca="false">C57/G57</f>
        <v>81.7201868682956</v>
      </c>
      <c r="I57" s="25" t="n">
        <f aca="false">I56+H57/60</f>
        <v>20.4627656879389</v>
      </c>
      <c r="J57" s="26" t="str">
        <f aca="false">IF(H57&lt;가정!$B$17,"빠름",IF(H57&gt;가정!$B$18,"느림","적정"))</f>
        <v>느림</v>
      </c>
    </row>
    <row r="58" customFormat="false" ht="15" hidden="false" customHeight="true" outlineLevel="0" collapsed="false">
      <c r="A58" s="23" t="n">
        <v>57</v>
      </c>
      <c r="B58" s="24" t="n">
        <f aca="false">가정!$B$5*가정!$B$6^(A58-1)</f>
        <v>1247.05005161019</v>
      </c>
      <c r="C58" s="24" t="n">
        <f aca="false">B58*가정!$B$7</f>
        <v>12470.5005161019</v>
      </c>
      <c r="D58" s="24" t="n">
        <f aca="false">가정!$B$9*가정!$B$10^(A58-1)*가정!$B$7</f>
        <v>1147.89983578327</v>
      </c>
      <c r="E58" s="24" t="n">
        <f aca="false">E57+D58</f>
        <v>16186.5643128936</v>
      </c>
      <c r="F58" s="23" t="n">
        <f aca="false">INT(LOG(E58*(가정!$B$14-1)/가정!$B$13+1)/LOG(가정!$B$14))</f>
        <v>46</v>
      </c>
      <c r="G58" s="24" t="n">
        <f aca="false">가정!$B$12+F58*가정!$B$15</f>
        <v>143</v>
      </c>
      <c r="H58" s="25" t="n">
        <f aca="false">C58/G58</f>
        <v>87.2062973153979</v>
      </c>
      <c r="I58" s="25" t="n">
        <f aca="false">I57+H58/60</f>
        <v>21.9162039765289</v>
      </c>
      <c r="J58" s="26" t="str">
        <f aca="false">IF(H58&lt;가정!$B$17,"빠름",IF(H58&gt;가정!$B$18,"느림","적정"))</f>
        <v>느림</v>
      </c>
    </row>
    <row r="59" customFormat="false" ht="15" hidden="false" customHeight="true" outlineLevel="0" collapsed="false">
      <c r="A59" s="23" t="n">
        <v>58</v>
      </c>
      <c r="B59" s="24" t="n">
        <f aca="false">가정!$B$5*가정!$B$6^(A59-1)</f>
        <v>1359.28455625511</v>
      </c>
      <c r="C59" s="24" t="n">
        <f aca="false">B59*가정!$B$7</f>
        <v>13592.8455625511</v>
      </c>
      <c r="D59" s="24" t="n">
        <f aca="false">가정!$B$9*가정!$B$10^(A59-1)*가정!$B$7</f>
        <v>1233.99232346702</v>
      </c>
      <c r="E59" s="24" t="n">
        <f aca="false">E58+D59</f>
        <v>17420.5566363606</v>
      </c>
      <c r="F59" s="23" t="n">
        <f aca="false">INT(LOG(E59*(가정!$B$14-1)/가정!$B$13+1)/LOG(가정!$B$14))</f>
        <v>47</v>
      </c>
      <c r="G59" s="24" t="n">
        <f aca="false">가정!$B$12+F59*가정!$B$15</f>
        <v>146</v>
      </c>
      <c r="H59" s="25" t="n">
        <f aca="false">C59/G59</f>
        <v>93.1016819352814</v>
      </c>
      <c r="I59" s="25" t="n">
        <f aca="false">I58+H59/60</f>
        <v>23.4678986754503</v>
      </c>
      <c r="J59" s="26" t="str">
        <f aca="false">IF(H59&lt;가정!$B$17,"빠름",IF(H59&gt;가정!$B$18,"느림","적정"))</f>
        <v>느림</v>
      </c>
    </row>
    <row r="60" customFormat="false" ht="15" hidden="false" customHeight="true" outlineLevel="0" collapsed="false">
      <c r="A60" s="23" t="n">
        <v>59</v>
      </c>
      <c r="B60" s="24" t="n">
        <f aca="false">가정!$B$5*가정!$B$6^(A60-1)</f>
        <v>1481.62016631807</v>
      </c>
      <c r="C60" s="24" t="n">
        <f aca="false">B60*가정!$B$7</f>
        <v>14816.2016631807</v>
      </c>
      <c r="D60" s="24" t="n">
        <f aca="false">가정!$B$9*가정!$B$10^(A60-1)*가정!$B$7</f>
        <v>1326.54174772705</v>
      </c>
      <c r="E60" s="24" t="n">
        <f aca="false">E59+D60</f>
        <v>18747.0983840877</v>
      </c>
      <c r="F60" s="23" t="n">
        <f aca="false">INT(LOG(E60*(가정!$B$14-1)/가정!$B$13+1)/LOG(가정!$B$14))</f>
        <v>47</v>
      </c>
      <c r="G60" s="24" t="n">
        <f aca="false">가정!$B$12+F60*가정!$B$15</f>
        <v>146</v>
      </c>
      <c r="H60" s="25" t="n">
        <f aca="false">C60/G60</f>
        <v>101.480833309457</v>
      </c>
      <c r="I60" s="25" t="n">
        <f aca="false">I59+H60/60</f>
        <v>25.1592458972745</v>
      </c>
      <c r="J60" s="26" t="str">
        <f aca="false">IF(H60&lt;가정!$B$17,"빠름",IF(H60&gt;가정!$B$18,"느림","적정"))</f>
        <v>느림</v>
      </c>
    </row>
    <row r="61" customFormat="false" ht="15" hidden="false" customHeight="true" outlineLevel="0" collapsed="false">
      <c r="A61" s="27" t="n">
        <v>60</v>
      </c>
      <c r="B61" s="28" t="n">
        <f aca="false">가정!$B$5*가정!$B$6^(A61-1)</f>
        <v>1614.96598128669</v>
      </c>
      <c r="C61" s="28" t="n">
        <f aca="false">B61*가정!$B$7</f>
        <v>16149.6598128669</v>
      </c>
      <c r="D61" s="28" t="n">
        <f aca="false">가정!$B$9*가정!$B$10^(A61-1)*가정!$B$7</f>
        <v>1426.03237880658</v>
      </c>
      <c r="E61" s="28" t="n">
        <f aca="false">E60+D61</f>
        <v>20173.1307628943</v>
      </c>
      <c r="F61" s="27" t="n">
        <f aca="false">INT(LOG(E61*(가정!$B$14-1)/가정!$B$13+1)/LOG(가정!$B$14))</f>
        <v>48</v>
      </c>
      <c r="G61" s="28" t="n">
        <f aca="false">가정!$B$12+F61*가정!$B$15</f>
        <v>149</v>
      </c>
      <c r="H61" s="29" t="n">
        <f aca="false">C61/G61</f>
        <v>108.386978609845</v>
      </c>
      <c r="I61" s="29" t="n">
        <f aca="false">I60+H61/60</f>
        <v>26.9656955407719</v>
      </c>
      <c r="J61" s="30" t="str">
        <f aca="false">IF(H61&lt;가정!$B$17,"빠름",IF(H61&gt;가정!$B$18,"느림","적정"))</f>
        <v>느림</v>
      </c>
    </row>
    <row r="62" customFormat="false" ht="15" hidden="false" customHeight="true" outlineLevel="0" collapsed="false">
      <c r="A62" s="23" t="n">
        <v>61</v>
      </c>
      <c r="B62" s="24" t="n">
        <f aca="false">가정!$B$5*가정!$B$6^(A62-1)</f>
        <v>1760.3129196025</v>
      </c>
      <c r="C62" s="24" t="n">
        <f aca="false">B62*가정!$B$7</f>
        <v>17603.129196025</v>
      </c>
      <c r="D62" s="24" t="n">
        <f aca="false">가정!$B$9*가정!$B$10^(A62-1)*가정!$B$7</f>
        <v>1532.98480721707</v>
      </c>
      <c r="E62" s="24" t="n">
        <f aca="false">E61+D62</f>
        <v>21706.1155701113</v>
      </c>
      <c r="F62" s="23" t="n">
        <f aca="false">INT(LOG(E62*(가정!$B$14-1)/가정!$B$13+1)/LOG(가정!$B$14))</f>
        <v>49</v>
      </c>
      <c r="G62" s="24" t="n">
        <f aca="false">가정!$B$12+F62*가정!$B$15</f>
        <v>152</v>
      </c>
      <c r="H62" s="25" t="n">
        <f aca="false">C62/G62</f>
        <v>115.810060500164</v>
      </c>
      <c r="I62" s="25" t="n">
        <f aca="false">I61+H62/60</f>
        <v>28.8958632157747</v>
      </c>
      <c r="J62" s="26" t="str">
        <f aca="false">IF(H62&lt;가정!$B$17,"빠름",IF(H62&gt;가정!$B$18,"느림","적정"))</f>
        <v>느림</v>
      </c>
    </row>
    <row r="63" customFormat="false" ht="15" hidden="false" customHeight="true" outlineLevel="0" collapsed="false">
      <c r="A63" s="23" t="n">
        <v>62</v>
      </c>
      <c r="B63" s="24" t="n">
        <f aca="false">가정!$B$5*가정!$B$6^(A63-1)</f>
        <v>1918.74108236672</v>
      </c>
      <c r="C63" s="24" t="n">
        <f aca="false">B63*가정!$B$7</f>
        <v>19187.4108236672</v>
      </c>
      <c r="D63" s="24" t="n">
        <f aca="false">가정!$B$9*가정!$B$10^(A63-1)*가정!$B$7</f>
        <v>1647.95866775835</v>
      </c>
      <c r="E63" s="24" t="n">
        <f aca="false">E62+D63</f>
        <v>23354.0742378697</v>
      </c>
      <c r="F63" s="23" t="n">
        <f aca="false">INT(LOG(E63*(가정!$B$14-1)/가정!$B$13+1)/LOG(가정!$B$14))</f>
        <v>49</v>
      </c>
      <c r="G63" s="24" t="n">
        <f aca="false">가정!$B$12+F63*가정!$B$15</f>
        <v>152</v>
      </c>
      <c r="H63" s="25" t="n">
        <f aca="false">C63/G63</f>
        <v>126.232965945179</v>
      </c>
      <c r="I63" s="25" t="n">
        <f aca="false">I62+H63/60</f>
        <v>30.9997459815277</v>
      </c>
      <c r="J63" s="26" t="str">
        <f aca="false">IF(H63&lt;가정!$B$17,"빠름",IF(H63&gt;가정!$B$18,"느림","적정"))</f>
        <v>느림</v>
      </c>
    </row>
    <row r="64" customFormat="false" ht="15" hidden="false" customHeight="true" outlineLevel="0" collapsed="false">
      <c r="A64" s="23" t="n">
        <v>63</v>
      </c>
      <c r="B64" s="24" t="n">
        <f aca="false">가정!$B$5*가정!$B$6^(A64-1)</f>
        <v>2091.42777977973</v>
      </c>
      <c r="C64" s="24" t="n">
        <f aca="false">B64*가정!$B$7</f>
        <v>20914.2777977973</v>
      </c>
      <c r="D64" s="24" t="n">
        <f aca="false">가정!$B$9*가정!$B$10^(A64-1)*가정!$B$7</f>
        <v>1771.55556784022</v>
      </c>
      <c r="E64" s="24" t="n">
        <f aca="false">E63+D64</f>
        <v>25125.6298057099</v>
      </c>
      <c r="F64" s="23" t="n">
        <f aca="false">INT(LOG(E64*(가정!$B$14-1)/가정!$B$13+1)/LOG(가정!$B$14))</f>
        <v>50</v>
      </c>
      <c r="G64" s="24" t="n">
        <f aca="false">가정!$B$12+F64*가정!$B$15</f>
        <v>155</v>
      </c>
      <c r="H64" s="25" t="n">
        <f aca="false">C64/G64</f>
        <v>134.930824501918</v>
      </c>
      <c r="I64" s="25" t="n">
        <f aca="false">I63+H64/60</f>
        <v>33.2485930565596</v>
      </c>
      <c r="J64" s="26" t="str">
        <f aca="false">IF(H64&lt;가정!$B$17,"빠름",IF(H64&gt;가정!$B$18,"느림","적정"))</f>
        <v>느림</v>
      </c>
    </row>
    <row r="65" customFormat="false" ht="15" hidden="false" customHeight="true" outlineLevel="0" collapsed="false">
      <c r="A65" s="23" t="n">
        <v>64</v>
      </c>
      <c r="B65" s="24" t="n">
        <f aca="false">가정!$B$5*가정!$B$6^(A65-1)</f>
        <v>2279.6562799599</v>
      </c>
      <c r="C65" s="24" t="n">
        <f aca="false">B65*가정!$B$7</f>
        <v>22796.562799599</v>
      </c>
      <c r="D65" s="24" t="n">
        <f aca="false">가정!$B$9*가정!$B$10^(A65-1)*가정!$B$7</f>
        <v>1904.42223542824</v>
      </c>
      <c r="E65" s="24" t="n">
        <f aca="false">E64+D65</f>
        <v>27030.0520411381</v>
      </c>
      <c r="F65" s="23" t="n">
        <f aca="false">INT(LOG(E65*(가정!$B$14-1)/가정!$B$13+1)/LOG(가정!$B$14))</f>
        <v>51</v>
      </c>
      <c r="G65" s="24" t="n">
        <f aca="false">가정!$B$12+F65*가정!$B$15</f>
        <v>158</v>
      </c>
      <c r="H65" s="25" t="n">
        <f aca="false">C65/G65</f>
        <v>144.282043035437</v>
      </c>
      <c r="I65" s="25" t="n">
        <f aca="false">I64+H65/60</f>
        <v>35.6532937738169</v>
      </c>
      <c r="J65" s="26" t="str">
        <f aca="false">IF(H65&lt;가정!$B$17,"빠름",IF(H65&gt;가정!$B$18,"느림","적정"))</f>
        <v>느림</v>
      </c>
    </row>
    <row r="66" customFormat="false" ht="15" hidden="false" customHeight="true" outlineLevel="0" collapsed="false">
      <c r="A66" s="23" t="n">
        <v>65</v>
      </c>
      <c r="B66" s="24" t="n">
        <f aca="false">가정!$B$5*가정!$B$6^(A66-1)</f>
        <v>2484.82534515629</v>
      </c>
      <c r="C66" s="24" t="n">
        <f aca="false">B66*가정!$B$7</f>
        <v>24848.2534515629</v>
      </c>
      <c r="D66" s="24" t="n">
        <f aca="false">가정!$B$9*가정!$B$10^(A66-1)*가정!$B$7</f>
        <v>2047.25390308536</v>
      </c>
      <c r="E66" s="24" t="n">
        <f aca="false">E65+D66</f>
        <v>29077.3059442235</v>
      </c>
      <c r="F66" s="23" t="n">
        <f aca="false">INT(LOG(E66*(가정!$B$14-1)/가정!$B$13+1)/LOG(가정!$B$14))</f>
        <v>51</v>
      </c>
      <c r="G66" s="24" t="n">
        <f aca="false">가정!$B$12+F66*가정!$B$15</f>
        <v>158</v>
      </c>
      <c r="H66" s="25" t="n">
        <f aca="false">C66/G66</f>
        <v>157.267426908626</v>
      </c>
      <c r="I66" s="25" t="n">
        <f aca="false">I65+H66/60</f>
        <v>38.2744175556273</v>
      </c>
      <c r="J66" s="26" t="str">
        <f aca="false">IF(H66&lt;가정!$B$17,"빠름",IF(H66&gt;가정!$B$18,"느림","적정"))</f>
        <v>느림</v>
      </c>
    </row>
    <row r="67" customFormat="false" ht="15" hidden="false" customHeight="true" outlineLevel="0" collapsed="false">
      <c r="A67" s="23" t="n">
        <v>66</v>
      </c>
      <c r="B67" s="24" t="n">
        <f aca="false">가정!$B$5*가정!$B$6^(A67-1)</f>
        <v>2708.45962622036</v>
      </c>
      <c r="C67" s="24" t="n">
        <f aca="false">B67*가정!$B$7</f>
        <v>27084.5962622036</v>
      </c>
      <c r="D67" s="24" t="n">
        <f aca="false">가정!$B$9*가정!$B$10^(A67-1)*가정!$B$7</f>
        <v>2200.79794581676</v>
      </c>
      <c r="E67" s="24" t="n">
        <f aca="false">E66+D67</f>
        <v>31278.1038900403</v>
      </c>
      <c r="F67" s="23" t="n">
        <f aca="false">INT(LOG(E67*(가정!$B$14-1)/가정!$B$13+1)/LOG(가정!$B$14))</f>
        <v>52</v>
      </c>
      <c r="G67" s="24" t="n">
        <f aca="false">가정!$B$12+F67*가정!$B$15</f>
        <v>161</v>
      </c>
      <c r="H67" s="25" t="n">
        <f aca="false">C67/G67</f>
        <v>168.22730597642</v>
      </c>
      <c r="I67" s="25" t="n">
        <f aca="false">I66+H67/60</f>
        <v>41.0782059885677</v>
      </c>
      <c r="J67" s="26" t="str">
        <f aca="false">IF(H67&lt;가정!$B$17,"빠름",IF(H67&gt;가정!$B$18,"느림","적정"))</f>
        <v>느림</v>
      </c>
    </row>
    <row r="68" customFormat="false" ht="15" hidden="false" customHeight="true" outlineLevel="0" collapsed="false">
      <c r="A68" s="23" t="n">
        <v>67</v>
      </c>
      <c r="B68" s="24" t="n">
        <f aca="false">가정!$B$5*가정!$B$6^(A68-1)</f>
        <v>2952.22099258019</v>
      </c>
      <c r="C68" s="24" t="n">
        <f aca="false">B68*가정!$B$7</f>
        <v>29522.2099258019</v>
      </c>
      <c r="D68" s="24" t="n">
        <f aca="false">가정!$B$9*가정!$B$10^(A68-1)*가정!$B$7</f>
        <v>2365.85779175302</v>
      </c>
      <c r="E68" s="24" t="n">
        <f aca="false">E67+D68</f>
        <v>33643.9616817933</v>
      </c>
      <c r="F68" s="23" t="n">
        <f aca="false">INT(LOG(E68*(가정!$B$14-1)/가정!$B$13+1)/LOG(가정!$B$14))</f>
        <v>52</v>
      </c>
      <c r="G68" s="24" t="n">
        <f aca="false">가정!$B$12+F68*가정!$B$15</f>
        <v>161</v>
      </c>
      <c r="H68" s="25" t="n">
        <f aca="false">C68/G68</f>
        <v>183.367763514298</v>
      </c>
      <c r="I68" s="25" t="n">
        <f aca="false">I67+H68/60</f>
        <v>44.1343353804726</v>
      </c>
      <c r="J68" s="26" t="str">
        <f aca="false">IF(H68&lt;가정!$B$17,"빠름",IF(H68&gt;가정!$B$18,"느림","적정"))</f>
        <v>느림</v>
      </c>
    </row>
    <row r="69" customFormat="false" ht="15" hidden="false" customHeight="true" outlineLevel="0" collapsed="false">
      <c r="A69" s="23" t="n">
        <v>68</v>
      </c>
      <c r="B69" s="24" t="n">
        <f aca="false">가정!$B$5*가정!$B$6^(A69-1)</f>
        <v>3217.92088191241</v>
      </c>
      <c r="C69" s="24" t="n">
        <f aca="false">B69*가정!$B$7</f>
        <v>32179.2088191241</v>
      </c>
      <c r="D69" s="24" t="n">
        <f aca="false">가정!$B$9*가정!$B$10^(A69-1)*가정!$B$7</f>
        <v>2543.29712613449</v>
      </c>
      <c r="E69" s="24" t="n">
        <f aca="false">E68+D69</f>
        <v>36187.2588079278</v>
      </c>
      <c r="F69" s="23" t="n">
        <f aca="false">INT(LOG(E69*(가정!$B$14-1)/가정!$B$13+1)/LOG(가정!$B$14))</f>
        <v>53</v>
      </c>
      <c r="G69" s="24" t="n">
        <f aca="false">가정!$B$12+F69*가정!$B$15</f>
        <v>164</v>
      </c>
      <c r="H69" s="25" t="n">
        <f aca="false">C69/G69</f>
        <v>196.214687921488</v>
      </c>
      <c r="I69" s="25" t="n">
        <f aca="false">I68+H69/60</f>
        <v>47.4045801791641</v>
      </c>
      <c r="J69" s="26" t="str">
        <f aca="false">IF(H69&lt;가정!$B$17,"빠름",IF(H69&gt;가정!$B$18,"느림","적정"))</f>
        <v>느림</v>
      </c>
    </row>
    <row r="70" customFormat="false" ht="15" hidden="false" customHeight="true" outlineLevel="0" collapsed="false">
      <c r="A70" s="23" t="n">
        <v>69</v>
      </c>
      <c r="B70" s="24" t="n">
        <f aca="false">가정!$B$5*가정!$B$6^(A70-1)</f>
        <v>3507.53376128453</v>
      </c>
      <c r="C70" s="24" t="n">
        <f aca="false">B70*가정!$B$7</f>
        <v>35075.3376128453</v>
      </c>
      <c r="D70" s="24" t="n">
        <f aca="false">가정!$B$9*가정!$B$10^(A70-1)*가정!$B$7</f>
        <v>2734.04441059458</v>
      </c>
      <c r="E70" s="24" t="n">
        <f aca="false">E69+D70</f>
        <v>38921.3032185224</v>
      </c>
      <c r="F70" s="23" t="n">
        <f aca="false">INT(LOG(E70*(가정!$B$14-1)/가정!$B$13+1)/LOG(가정!$B$14))</f>
        <v>54</v>
      </c>
      <c r="G70" s="24" t="n">
        <f aca="false">가정!$B$12+F70*가정!$B$15</f>
        <v>167</v>
      </c>
      <c r="H70" s="25" t="n">
        <f aca="false">C70/G70</f>
        <v>210.031961753564</v>
      </c>
      <c r="I70" s="25" t="n">
        <f aca="false">I69+H70/60</f>
        <v>50.9051128750568</v>
      </c>
      <c r="J70" s="26" t="str">
        <f aca="false">IF(H70&lt;가정!$B$17,"빠름",IF(H70&gt;가정!$B$18,"느림","적정"))</f>
        <v>느림</v>
      </c>
    </row>
    <row r="71" customFormat="false" ht="15" hidden="false" customHeight="true" outlineLevel="0" collapsed="false">
      <c r="A71" s="27" t="n">
        <v>70</v>
      </c>
      <c r="B71" s="28" t="n">
        <f aca="false">가정!$B$5*가정!$B$6^(A71-1)</f>
        <v>3823.21179980013</v>
      </c>
      <c r="C71" s="28" t="n">
        <f aca="false">B71*가정!$B$7</f>
        <v>38232.1179980013</v>
      </c>
      <c r="D71" s="28" t="n">
        <f aca="false">가정!$B$9*가정!$B$10^(A71-1)*가정!$B$7</f>
        <v>2939.09774138918</v>
      </c>
      <c r="E71" s="28" t="n">
        <f aca="false">E70+D71</f>
        <v>41860.4009599115</v>
      </c>
      <c r="F71" s="27" t="n">
        <f aca="false">INT(LOG(E71*(가정!$B$14-1)/가정!$B$13+1)/LOG(가정!$B$14))</f>
        <v>54</v>
      </c>
      <c r="G71" s="28" t="n">
        <f aca="false">가정!$B$12+F71*가정!$B$15</f>
        <v>167</v>
      </c>
      <c r="H71" s="29" t="n">
        <f aca="false">C71/G71</f>
        <v>228.934838311385</v>
      </c>
      <c r="I71" s="29" t="n">
        <f aca="false">I70+H71/60</f>
        <v>54.7206935135799</v>
      </c>
      <c r="J71" s="30" t="str">
        <f aca="false">IF(H71&lt;가정!$B$17,"빠름",IF(H71&gt;가정!$B$18,"느림","적정"))</f>
        <v>느림</v>
      </c>
    </row>
    <row r="72" customFormat="false" ht="15" hidden="false" customHeight="true" outlineLevel="0" collapsed="false">
      <c r="A72" s="23" t="n">
        <v>71</v>
      </c>
      <c r="B72" s="24" t="n">
        <f aca="false">가정!$B$5*가정!$B$6^(A72-1)</f>
        <v>4167.30086178215</v>
      </c>
      <c r="C72" s="24" t="n">
        <f aca="false">B72*가정!$B$7</f>
        <v>41673.0086178215</v>
      </c>
      <c r="D72" s="24" t="n">
        <f aca="false">가정!$B$9*가정!$B$10^(A72-1)*가정!$B$7</f>
        <v>3159.53007199336</v>
      </c>
      <c r="E72" s="24" t="n">
        <f aca="false">E71+D72</f>
        <v>45019.9310319049</v>
      </c>
      <c r="F72" s="23" t="n">
        <f aca="false">INT(LOG(E72*(가정!$B$14-1)/가정!$B$13+1)/LOG(가정!$B$14))</f>
        <v>55</v>
      </c>
      <c r="G72" s="24" t="n">
        <f aca="false">가정!$B$12+F72*가정!$B$15</f>
        <v>170</v>
      </c>
      <c r="H72" s="25" t="n">
        <f aca="false">C72/G72</f>
        <v>245.135344810715</v>
      </c>
      <c r="I72" s="25" t="n">
        <f aca="false">I71+H72/60</f>
        <v>58.8062825937585</v>
      </c>
      <c r="J72" s="26" t="str">
        <f aca="false">IF(H72&lt;가정!$B$17,"빠름",IF(H72&gt;가정!$B$18,"느림","적정"))</f>
        <v>느림</v>
      </c>
    </row>
    <row r="73" customFormat="false" ht="15" hidden="false" customHeight="true" outlineLevel="0" collapsed="false">
      <c r="A73" s="23" t="n">
        <v>72</v>
      </c>
      <c r="B73" s="24" t="n">
        <f aca="false">가정!$B$5*가정!$B$6^(A73-1)</f>
        <v>4542.35793934254</v>
      </c>
      <c r="C73" s="24" t="n">
        <f aca="false">B73*가정!$B$7</f>
        <v>45423.5793934254</v>
      </c>
      <c r="D73" s="24" t="n">
        <f aca="false">가정!$B$9*가정!$B$10^(A73-1)*가정!$B$7</f>
        <v>3396.49482739287</v>
      </c>
      <c r="E73" s="24" t="n">
        <f aca="false">E72+D73</f>
        <v>48416.4258592978</v>
      </c>
      <c r="F73" s="23" t="n">
        <f aca="false">INT(LOG(E73*(가정!$B$14-1)/가정!$B$13+1)/LOG(가정!$B$14))</f>
        <v>56</v>
      </c>
      <c r="G73" s="24" t="n">
        <f aca="false">가정!$B$12+F73*가정!$B$15</f>
        <v>173</v>
      </c>
      <c r="H73" s="25" t="n">
        <f aca="false">C73/G73</f>
        <v>262.564042736563</v>
      </c>
      <c r="I73" s="25" t="n">
        <f aca="false">I72+H73/60</f>
        <v>63.1823499727012</v>
      </c>
      <c r="J73" s="26" t="str">
        <f aca="false">IF(H73&lt;가정!$B$17,"빠름",IF(H73&gt;가정!$B$18,"느림","적정"))</f>
        <v>느림</v>
      </c>
    </row>
    <row r="74" customFormat="false" ht="15" hidden="false" customHeight="true" outlineLevel="0" collapsed="false">
      <c r="A74" s="23" t="n">
        <v>73</v>
      </c>
      <c r="B74" s="24" t="n">
        <f aca="false">가정!$B$5*가정!$B$6^(A74-1)</f>
        <v>4951.17015388337</v>
      </c>
      <c r="C74" s="24" t="n">
        <f aca="false">B74*가정!$B$7</f>
        <v>49511.7015388337</v>
      </c>
      <c r="D74" s="24" t="n">
        <f aca="false">가정!$B$9*가정!$B$10^(A74-1)*가정!$B$7</f>
        <v>3651.23193944733</v>
      </c>
      <c r="E74" s="24" t="n">
        <f aca="false">E73+D74</f>
        <v>52067.6577987451</v>
      </c>
      <c r="F74" s="23" t="n">
        <f aca="false">INT(LOG(E74*(가정!$B$14-1)/가정!$B$13+1)/LOG(가정!$B$14))</f>
        <v>56</v>
      </c>
      <c r="G74" s="24" t="n">
        <f aca="false">가정!$B$12+F74*가정!$B$15</f>
        <v>173</v>
      </c>
      <c r="H74" s="25" t="n">
        <f aca="false">C74/G74</f>
        <v>286.194806582854</v>
      </c>
      <c r="I74" s="25" t="n">
        <f aca="false">I73+H74/60</f>
        <v>67.9522634157488</v>
      </c>
      <c r="J74" s="26" t="str">
        <f aca="false">IF(H74&lt;가정!$B$17,"빠름",IF(H74&gt;가정!$B$18,"느림","적정"))</f>
        <v>느림</v>
      </c>
    </row>
    <row r="75" customFormat="false" ht="15" hidden="false" customHeight="true" outlineLevel="0" collapsed="false">
      <c r="A75" s="23" t="n">
        <v>74</v>
      </c>
      <c r="B75" s="24" t="n">
        <f aca="false">가정!$B$5*가정!$B$6^(A75-1)</f>
        <v>5396.77546773287</v>
      </c>
      <c r="C75" s="24" t="n">
        <f aca="false">B75*가정!$B$7</f>
        <v>53967.7546773287</v>
      </c>
      <c r="D75" s="24" t="n">
        <f aca="false">가정!$B$9*가정!$B$10^(A75-1)*가정!$B$7</f>
        <v>3925.07433490588</v>
      </c>
      <c r="E75" s="24" t="n">
        <f aca="false">E74+D75</f>
        <v>55992.732133651</v>
      </c>
      <c r="F75" s="23" t="n">
        <f aca="false">INT(LOG(E75*(가정!$B$14-1)/가정!$B$13+1)/LOG(가정!$B$14))</f>
        <v>57</v>
      </c>
      <c r="G75" s="24" t="n">
        <f aca="false">가정!$B$12+F75*가정!$B$15</f>
        <v>176</v>
      </c>
      <c r="H75" s="25" t="n">
        <f aca="false">C75/G75</f>
        <v>306.63496975755</v>
      </c>
      <c r="I75" s="25" t="n">
        <f aca="false">I74+H75/60</f>
        <v>73.0628462450413</v>
      </c>
      <c r="J75" s="26" t="str">
        <f aca="false">IF(H75&lt;가정!$B$17,"빠름",IF(H75&gt;가정!$B$18,"느림","적정"))</f>
        <v>느림</v>
      </c>
    </row>
    <row r="76" customFormat="false" ht="15" hidden="false" customHeight="true" outlineLevel="0" collapsed="false">
      <c r="A76" s="23" t="n">
        <v>75</v>
      </c>
      <c r="B76" s="24" t="n">
        <f aca="false">가정!$B$5*가정!$B$6^(A76-1)</f>
        <v>5882.48525982883</v>
      </c>
      <c r="C76" s="24" t="n">
        <f aca="false">B76*가정!$B$7</f>
        <v>58824.8525982883</v>
      </c>
      <c r="D76" s="24" t="n">
        <f aca="false">가정!$B$9*가정!$B$10^(A76-1)*가정!$B$7</f>
        <v>4219.45491002382</v>
      </c>
      <c r="E76" s="24" t="n">
        <f aca="false">E75+D76</f>
        <v>60212.1870436748</v>
      </c>
      <c r="F76" s="23" t="n">
        <f aca="false">INT(LOG(E76*(가정!$B$14-1)/가정!$B$13+1)/LOG(가정!$B$14))</f>
        <v>58</v>
      </c>
      <c r="G76" s="24" t="n">
        <f aca="false">가정!$B$12+F76*가정!$B$15</f>
        <v>179</v>
      </c>
      <c r="H76" s="25" t="n">
        <f aca="false">C76/G76</f>
        <v>328.630461442951</v>
      </c>
      <c r="I76" s="25" t="n">
        <f aca="false">I75+H76/60</f>
        <v>78.5400206024238</v>
      </c>
      <c r="J76" s="26" t="str">
        <f aca="false">IF(H76&lt;가정!$B$17,"빠름",IF(H76&gt;가정!$B$18,"느림","적정"))</f>
        <v>느림</v>
      </c>
    </row>
    <row r="77" customFormat="false" ht="15" hidden="false" customHeight="true" outlineLevel="0" collapsed="false">
      <c r="A77" s="23" t="n">
        <v>76</v>
      </c>
      <c r="B77" s="24" t="n">
        <f aca="false">가정!$B$5*가정!$B$6^(A77-1)</f>
        <v>6411.90893321343</v>
      </c>
      <c r="C77" s="24" t="n">
        <f aca="false">B77*가정!$B$7</f>
        <v>64119.0893321343</v>
      </c>
      <c r="D77" s="24" t="n">
        <f aca="false">가정!$B$9*가정!$B$10^(A77-1)*가정!$B$7</f>
        <v>4535.91402827561</v>
      </c>
      <c r="E77" s="24" t="n">
        <f aca="false">E76+D77</f>
        <v>64748.1010719504</v>
      </c>
      <c r="F77" s="23" t="n">
        <f aca="false">INT(LOG(E77*(가정!$B$14-1)/가정!$B$13+1)/LOG(가정!$B$14))</f>
        <v>58</v>
      </c>
      <c r="G77" s="24" t="n">
        <f aca="false">가정!$B$12+F77*가정!$B$15</f>
        <v>179</v>
      </c>
      <c r="H77" s="25" t="n">
        <f aca="false">C77/G77</f>
        <v>358.207202972817</v>
      </c>
      <c r="I77" s="25" t="n">
        <f aca="false">I76+H77/60</f>
        <v>84.5101406519708</v>
      </c>
      <c r="J77" s="26" t="str">
        <f aca="false">IF(H77&lt;가정!$B$17,"빠름",IF(H77&gt;가정!$B$18,"느림","적정"))</f>
        <v>느림</v>
      </c>
    </row>
    <row r="78" customFormat="false" ht="15" hidden="false" customHeight="true" outlineLevel="0" collapsed="false">
      <c r="A78" s="23" t="n">
        <v>77</v>
      </c>
      <c r="B78" s="24" t="n">
        <f aca="false">가정!$B$5*가정!$B$6^(A78-1)</f>
        <v>6988.98073720264</v>
      </c>
      <c r="C78" s="24" t="n">
        <f aca="false">B78*가정!$B$7</f>
        <v>69889.8073720264</v>
      </c>
      <c r="D78" s="24" t="n">
        <f aca="false">가정!$B$9*가정!$B$10^(A78-1)*가정!$B$7</f>
        <v>4876.10758039628</v>
      </c>
      <c r="E78" s="24" t="n">
        <f aca="false">E77+D78</f>
        <v>69624.2086523467</v>
      </c>
      <c r="F78" s="23" t="n">
        <f aca="false">INT(LOG(E78*(가정!$B$14-1)/가정!$B$13+1)/LOG(가정!$B$14))</f>
        <v>59</v>
      </c>
      <c r="G78" s="24" t="n">
        <f aca="false">가정!$B$12+F78*가정!$B$15</f>
        <v>182</v>
      </c>
      <c r="H78" s="25" t="n">
        <f aca="false">C78/G78</f>
        <v>384.009930615529</v>
      </c>
      <c r="I78" s="25" t="n">
        <f aca="false">I77+H78/60</f>
        <v>90.9103061622296</v>
      </c>
      <c r="J78" s="26" t="str">
        <f aca="false">IF(H78&lt;가정!$B$17,"빠름",IF(H78&gt;가정!$B$18,"느림","적정"))</f>
        <v>느림</v>
      </c>
    </row>
    <row r="79" customFormat="false" ht="15" hidden="false" customHeight="true" outlineLevel="0" collapsed="false">
      <c r="A79" s="23" t="n">
        <v>78</v>
      </c>
      <c r="B79" s="24" t="n">
        <f aca="false">가정!$B$5*가정!$B$6^(A79-1)</f>
        <v>7617.98900355087</v>
      </c>
      <c r="C79" s="24" t="n">
        <f aca="false">B79*가정!$B$7</f>
        <v>76179.8900355087</v>
      </c>
      <c r="D79" s="24" t="n">
        <f aca="false">가정!$B$9*가정!$B$10^(A79-1)*가정!$B$7</f>
        <v>5241.815648926</v>
      </c>
      <c r="E79" s="24" t="n">
        <f aca="false">E78+D79</f>
        <v>74866.0243012727</v>
      </c>
      <c r="F79" s="23" t="n">
        <f aca="false">INT(LOG(E79*(가정!$B$14-1)/가정!$B$13+1)/LOG(가정!$B$14))</f>
        <v>60</v>
      </c>
      <c r="G79" s="24" t="n">
        <f aca="false">가정!$B$12+F79*가정!$B$15</f>
        <v>185</v>
      </c>
      <c r="H79" s="25" t="n">
        <f aca="false">C79/G79</f>
        <v>411.783189381128</v>
      </c>
      <c r="I79" s="25" t="n">
        <f aca="false">I78+H79/60</f>
        <v>97.7733593185817</v>
      </c>
      <c r="J79" s="26" t="str">
        <f aca="false">IF(H79&lt;가정!$B$17,"빠름",IF(H79&gt;가정!$B$18,"느림","적정"))</f>
        <v>느림</v>
      </c>
    </row>
    <row r="80" customFormat="false" ht="15" hidden="false" customHeight="true" outlineLevel="0" collapsed="false">
      <c r="A80" s="23" t="n">
        <v>79</v>
      </c>
      <c r="B80" s="24" t="n">
        <f aca="false">가정!$B$5*가정!$B$6^(A80-1)</f>
        <v>8303.60801387045</v>
      </c>
      <c r="C80" s="24" t="n">
        <f aca="false">B80*가정!$B$7</f>
        <v>83036.0801387045</v>
      </c>
      <c r="D80" s="24" t="n">
        <f aca="false">가정!$B$9*가정!$B$10^(A80-1)*가정!$B$7</f>
        <v>5634.95182259545</v>
      </c>
      <c r="E80" s="24" t="n">
        <f aca="false">E79+D80</f>
        <v>80500.9761238681</v>
      </c>
      <c r="F80" s="23" t="n">
        <f aca="false">INT(LOG(E80*(가정!$B$14-1)/가정!$B$13+1)/LOG(가정!$B$14))</f>
        <v>60</v>
      </c>
      <c r="G80" s="24" t="n">
        <f aca="false">가정!$B$12+F80*가정!$B$15</f>
        <v>185</v>
      </c>
      <c r="H80" s="25" t="n">
        <f aca="false">C80/G80</f>
        <v>448.84367642543</v>
      </c>
      <c r="I80" s="25" t="n">
        <f aca="false">I79+H80/60</f>
        <v>105.254087259006</v>
      </c>
      <c r="J80" s="26" t="str">
        <f aca="false">IF(H80&lt;가정!$B$17,"빠름",IF(H80&gt;가정!$B$18,"느림","적정"))</f>
        <v>느림</v>
      </c>
    </row>
    <row r="81" customFormat="false" ht="15" hidden="false" customHeight="true" outlineLevel="0" collapsed="false">
      <c r="A81" s="27" t="n">
        <v>80</v>
      </c>
      <c r="B81" s="28" t="n">
        <f aca="false">가정!$B$5*가정!$B$6^(A81-1)</f>
        <v>9050.9327351188</v>
      </c>
      <c r="C81" s="28" t="n">
        <f aca="false">B81*가정!$B$7</f>
        <v>90509.327351188</v>
      </c>
      <c r="D81" s="28" t="n">
        <f aca="false">가정!$B$9*가정!$B$10^(A81-1)*가정!$B$7</f>
        <v>6057.5732092901</v>
      </c>
      <c r="E81" s="28" t="n">
        <f aca="false">E80+D81</f>
        <v>86558.5493331582</v>
      </c>
      <c r="F81" s="27" t="n">
        <f aca="false">INT(LOG(E81*(가정!$B$14-1)/가정!$B$13+1)/LOG(가정!$B$14))</f>
        <v>61</v>
      </c>
      <c r="G81" s="28" t="n">
        <f aca="false">가정!$B$12+F81*가정!$B$15</f>
        <v>188</v>
      </c>
      <c r="H81" s="29" t="n">
        <f aca="false">C81/G81</f>
        <v>481.432592293553</v>
      </c>
      <c r="I81" s="29" t="n">
        <f aca="false">I80+H81/60</f>
        <v>113.277963797231</v>
      </c>
      <c r="J81" s="30" t="str">
        <f aca="false">IF(H81&lt;가정!$B$17,"빠름",IF(H81&gt;가정!$B$18,"느림","적정"))</f>
        <v>느림</v>
      </c>
    </row>
    <row r="82" customFormat="false" ht="15" hidden="false" customHeight="true" outlineLevel="0" collapsed="false">
      <c r="A82" s="23" t="n">
        <v>81</v>
      </c>
      <c r="B82" s="24" t="n">
        <f aca="false">가정!$B$5*가정!$B$6^(A82-1)</f>
        <v>9865.51668127949</v>
      </c>
      <c r="C82" s="24" t="n">
        <f aca="false">B82*가정!$B$7</f>
        <v>98655.1668127949</v>
      </c>
      <c r="D82" s="24" t="n">
        <f aca="false">가정!$B$9*가정!$B$10^(A82-1)*가정!$B$7</f>
        <v>6511.89119998686</v>
      </c>
      <c r="E82" s="24" t="n">
        <f aca="false">E81+D82</f>
        <v>93070.4405331451</v>
      </c>
      <c r="F82" s="23" t="n">
        <f aca="false">INT(LOG(E82*(가정!$B$14-1)/가정!$B$13+1)/LOG(가정!$B$14))</f>
        <v>61</v>
      </c>
      <c r="G82" s="24" t="n">
        <f aca="false">가정!$B$12+F82*가정!$B$15</f>
        <v>188</v>
      </c>
      <c r="H82" s="25" t="n">
        <f aca="false">C82/G82</f>
        <v>524.761525599973</v>
      </c>
      <c r="I82" s="25" t="n">
        <f aca="false">I81+H82/60</f>
        <v>122.023989223898</v>
      </c>
      <c r="J82" s="26" t="str">
        <f aca="false">IF(H82&lt;가정!$B$17,"빠름",IF(H82&gt;가정!$B$18,"느림","적정"))</f>
        <v>느림</v>
      </c>
    </row>
    <row r="83" customFormat="false" ht="15" hidden="false" customHeight="true" outlineLevel="0" collapsed="false">
      <c r="A83" s="23" t="n">
        <v>82</v>
      </c>
      <c r="B83" s="24" t="n">
        <f aca="false">가정!$B$5*가정!$B$6^(A83-1)</f>
        <v>10753.4131825946</v>
      </c>
      <c r="C83" s="24" t="n">
        <f aca="false">B83*가정!$B$7</f>
        <v>107534.131825946</v>
      </c>
      <c r="D83" s="24" t="n">
        <f aca="false">가정!$B$9*가정!$B$10^(A83-1)*가정!$B$7</f>
        <v>7000.28303998588</v>
      </c>
      <c r="E83" s="24" t="n">
        <f aca="false">E82+D83</f>
        <v>100070.723573131</v>
      </c>
      <c r="F83" s="23" t="n">
        <f aca="false">INT(LOG(E83*(가정!$B$14-1)/가정!$B$13+1)/LOG(가정!$B$14))</f>
        <v>62</v>
      </c>
      <c r="G83" s="24" t="n">
        <f aca="false">가정!$B$12+F83*가정!$B$15</f>
        <v>191</v>
      </c>
      <c r="H83" s="25" t="n">
        <f aca="false">C83/G83</f>
        <v>563.005925790295</v>
      </c>
      <c r="I83" s="25" t="n">
        <f aca="false">I82+H83/60</f>
        <v>131.407421320403</v>
      </c>
      <c r="J83" s="26" t="str">
        <f aca="false">IF(H83&lt;가정!$B$17,"빠름",IF(H83&gt;가정!$B$18,"느림","적정"))</f>
        <v>느림</v>
      </c>
    </row>
    <row r="84" customFormat="false" ht="15" hidden="false" customHeight="true" outlineLevel="0" collapsed="false">
      <c r="A84" s="23" t="n">
        <v>83</v>
      </c>
      <c r="B84" s="24" t="n">
        <f aca="false">가정!$B$5*가정!$B$6^(A84-1)</f>
        <v>11721.2203690282</v>
      </c>
      <c r="C84" s="24" t="n">
        <f aca="false">B84*가정!$B$7</f>
        <v>117212.203690282</v>
      </c>
      <c r="D84" s="24" t="n">
        <f aca="false">가정!$B$9*가정!$B$10^(A84-1)*가정!$B$7</f>
        <v>7525.30426798482</v>
      </c>
      <c r="E84" s="24" t="n">
        <f aca="false">E83+D84</f>
        <v>107596.027841116</v>
      </c>
      <c r="F84" s="23" t="n">
        <f aca="false">INT(LOG(E84*(가정!$B$14-1)/가정!$B$13+1)/LOG(가정!$B$14))</f>
        <v>63</v>
      </c>
      <c r="G84" s="24" t="n">
        <f aca="false">가정!$B$12+F84*가정!$B$15</f>
        <v>194</v>
      </c>
      <c r="H84" s="25" t="n">
        <f aca="false">C84/G84</f>
        <v>604.186616960215</v>
      </c>
      <c r="I84" s="25" t="n">
        <f aca="false">I83+H84/60</f>
        <v>141.477198269739</v>
      </c>
      <c r="J84" s="26" t="str">
        <f aca="false">IF(H84&lt;가정!$B$17,"빠름",IF(H84&gt;가정!$B$18,"느림","적정"))</f>
        <v>느림</v>
      </c>
    </row>
    <row r="85" customFormat="false" ht="15" hidden="false" customHeight="true" outlineLevel="0" collapsed="false">
      <c r="A85" s="23" t="n">
        <v>84</v>
      </c>
      <c r="B85" s="24" t="n">
        <f aca="false">가정!$B$5*가정!$B$6^(A85-1)</f>
        <v>12776.1302022407</v>
      </c>
      <c r="C85" s="24" t="n">
        <f aca="false">B85*가정!$B$7</f>
        <v>127761.302022407</v>
      </c>
      <c r="D85" s="24" t="n">
        <f aca="false">가정!$B$9*가정!$B$10^(A85-1)*가정!$B$7</f>
        <v>8089.70208808368</v>
      </c>
      <c r="E85" s="24" t="n">
        <f aca="false">E84+D85</f>
        <v>115685.729929199</v>
      </c>
      <c r="F85" s="23" t="n">
        <f aca="false">INT(LOG(E85*(가정!$B$14-1)/가정!$B$13+1)/LOG(가정!$B$14))</f>
        <v>63</v>
      </c>
      <c r="G85" s="24" t="n">
        <f aca="false">가정!$B$12+F85*가정!$B$15</f>
        <v>194</v>
      </c>
      <c r="H85" s="25" t="n">
        <f aca="false">C85/G85</f>
        <v>658.563412486634</v>
      </c>
      <c r="I85" s="25" t="n">
        <f aca="false">I84+H85/60</f>
        <v>152.453255144517</v>
      </c>
      <c r="J85" s="26" t="str">
        <f aca="false">IF(H85&lt;가정!$B$17,"빠름",IF(H85&gt;가정!$B$18,"느림","적정"))</f>
        <v>느림</v>
      </c>
    </row>
    <row r="86" customFormat="false" ht="15" hidden="false" customHeight="true" outlineLevel="0" collapsed="false">
      <c r="A86" s="23" t="n">
        <v>85</v>
      </c>
      <c r="B86" s="24" t="n">
        <f aca="false">가정!$B$5*가정!$B$6^(A86-1)</f>
        <v>13925.9819204424</v>
      </c>
      <c r="C86" s="24" t="n">
        <f aca="false">B86*가정!$B$7</f>
        <v>139259.819204424</v>
      </c>
      <c r="D86" s="24" t="n">
        <f aca="false">가정!$B$9*가정!$B$10^(A86-1)*가정!$B$7</f>
        <v>8696.42974468996</v>
      </c>
      <c r="E86" s="24" t="n">
        <f aca="false">E85+D86</f>
        <v>124382.159673889</v>
      </c>
      <c r="F86" s="23" t="n">
        <f aca="false">INT(LOG(E86*(가정!$B$14-1)/가정!$B$13+1)/LOG(가정!$B$14))</f>
        <v>64</v>
      </c>
      <c r="G86" s="24" t="n">
        <f aca="false">가정!$B$12+F86*가정!$B$15</f>
        <v>197</v>
      </c>
      <c r="H86" s="25" t="n">
        <f aca="false">C86/G86</f>
        <v>706.90263555545</v>
      </c>
      <c r="I86" s="25" t="n">
        <f aca="false">I85+H86/60</f>
        <v>164.234965737108</v>
      </c>
      <c r="J86" s="26" t="str">
        <f aca="false">IF(H86&lt;가정!$B$17,"빠름",IF(H86&gt;가정!$B$18,"느림","적정"))</f>
        <v>느림</v>
      </c>
    </row>
    <row r="87" customFormat="false" ht="15" hidden="false" customHeight="true" outlineLevel="0" collapsed="false">
      <c r="A87" s="23" t="n">
        <v>86</v>
      </c>
      <c r="B87" s="24" t="n">
        <f aca="false">가정!$B$5*가정!$B$6^(A87-1)</f>
        <v>15179.3202932822</v>
      </c>
      <c r="C87" s="24" t="n">
        <f aca="false">B87*가정!$B$7</f>
        <v>151793.202932822</v>
      </c>
      <c r="D87" s="24" t="n">
        <f aca="false">가정!$B$9*가정!$B$10^(A87-1)*가정!$B$7</f>
        <v>9348.6619755417</v>
      </c>
      <c r="E87" s="24" t="n">
        <f aca="false">E86+D87</f>
        <v>133730.821649431</v>
      </c>
      <c r="F87" s="23" t="n">
        <f aca="false">INT(LOG(E87*(가정!$B$14-1)/가정!$B$13+1)/LOG(가정!$B$14))</f>
        <v>65</v>
      </c>
      <c r="G87" s="24" t="n">
        <f aca="false">가정!$B$12+F87*가정!$B$15</f>
        <v>200</v>
      </c>
      <c r="H87" s="25" t="n">
        <f aca="false">C87/G87</f>
        <v>758.966014664109</v>
      </c>
      <c r="I87" s="25" t="n">
        <f aca="false">I86+H87/60</f>
        <v>176.884399314843</v>
      </c>
      <c r="J87" s="26" t="str">
        <f aca="false">IF(H87&lt;가정!$B$17,"빠름",IF(H87&gt;가정!$B$18,"느림","적정"))</f>
        <v>느림</v>
      </c>
    </row>
    <row r="88" customFormat="false" ht="15" hidden="false" customHeight="true" outlineLevel="0" collapsed="false">
      <c r="A88" s="23" t="n">
        <v>87</v>
      </c>
      <c r="B88" s="24" t="n">
        <f aca="false">가정!$B$5*가정!$B$6^(A88-1)</f>
        <v>16545.4591196776</v>
      </c>
      <c r="C88" s="24" t="n">
        <f aca="false">B88*가정!$B$7</f>
        <v>165454.591196776</v>
      </c>
      <c r="D88" s="24" t="n">
        <f aca="false">가정!$B$9*가정!$B$10^(A88-1)*가정!$B$7</f>
        <v>10049.8116237073</v>
      </c>
      <c r="E88" s="24" t="n">
        <f aca="false">E87+D88</f>
        <v>143780.633273138</v>
      </c>
      <c r="F88" s="23" t="n">
        <f aca="false">INT(LOG(E88*(가정!$B$14-1)/가정!$B$13+1)/LOG(가정!$B$14))</f>
        <v>65</v>
      </c>
      <c r="G88" s="24" t="n">
        <f aca="false">가정!$B$12+F88*가정!$B$15</f>
        <v>200</v>
      </c>
      <c r="H88" s="25" t="n">
        <f aca="false">C88/G88</f>
        <v>827.272955983879</v>
      </c>
      <c r="I88" s="25" t="n">
        <f aca="false">I87+H88/60</f>
        <v>190.672281914574</v>
      </c>
      <c r="J88" s="26" t="str">
        <f aca="false">IF(H88&lt;가정!$B$17,"빠름",IF(H88&gt;가정!$B$18,"느림","적정"))</f>
        <v>느림</v>
      </c>
    </row>
    <row r="89" customFormat="false" ht="15" hidden="false" customHeight="true" outlineLevel="0" collapsed="false">
      <c r="A89" s="23" t="n">
        <v>88</v>
      </c>
      <c r="B89" s="24" t="n">
        <f aca="false">가정!$B$5*가정!$B$6^(A89-1)</f>
        <v>18034.5504404486</v>
      </c>
      <c r="C89" s="24" t="n">
        <f aca="false">B89*가정!$B$7</f>
        <v>180345.504404486</v>
      </c>
      <c r="D89" s="24" t="n">
        <f aca="false">가정!$B$9*가정!$B$10^(A89-1)*가정!$B$7</f>
        <v>10803.5474954854</v>
      </c>
      <c r="E89" s="24" t="n">
        <f aca="false">E88+D89</f>
        <v>154584.180768624</v>
      </c>
      <c r="F89" s="23" t="n">
        <f aca="false">INT(LOG(E89*(가정!$B$14-1)/가정!$B$13+1)/LOG(가정!$B$14))</f>
        <v>66</v>
      </c>
      <c r="G89" s="24" t="n">
        <f aca="false">가정!$B$12+F89*가정!$B$15</f>
        <v>203</v>
      </c>
      <c r="H89" s="25" t="n">
        <f aca="false">C89/G89</f>
        <v>888.401499529485</v>
      </c>
      <c r="I89" s="25" t="n">
        <f aca="false">I88+H89/60</f>
        <v>205.478973573399</v>
      </c>
      <c r="J89" s="26" t="str">
        <f aca="false">IF(H89&lt;가정!$B$17,"빠름",IF(H89&gt;가정!$B$18,"느림","적정"))</f>
        <v>느림</v>
      </c>
    </row>
    <row r="90" customFormat="false" ht="15" hidden="false" customHeight="true" outlineLevel="0" collapsed="false">
      <c r="A90" s="23" t="n">
        <v>89</v>
      </c>
      <c r="B90" s="24" t="n">
        <f aca="false">가정!$B$5*가정!$B$6^(A90-1)</f>
        <v>19657.6599800889</v>
      </c>
      <c r="C90" s="24" t="n">
        <f aca="false">B90*가정!$B$7</f>
        <v>196576.599800889</v>
      </c>
      <c r="D90" s="24" t="n">
        <f aca="false">가정!$B$9*가정!$B$10^(A90-1)*가정!$B$7</f>
        <v>11613.8135576468</v>
      </c>
      <c r="E90" s="24" t="n">
        <f aca="false">E89+D90</f>
        <v>166197.994326271</v>
      </c>
      <c r="F90" s="23" t="n">
        <f aca="false">INT(LOG(E90*(가정!$B$14-1)/가정!$B$13+1)/LOG(가정!$B$14))</f>
        <v>67</v>
      </c>
      <c r="G90" s="24" t="n">
        <f aca="false">가정!$B$12+F90*가정!$B$15</f>
        <v>206</v>
      </c>
      <c r="H90" s="25" t="n">
        <f aca="false">C90/G90</f>
        <v>954.255338839268</v>
      </c>
      <c r="I90" s="25" t="n">
        <f aca="false">I89+H90/60</f>
        <v>221.38322922072</v>
      </c>
      <c r="J90" s="26" t="str">
        <f aca="false">IF(H90&lt;가정!$B$17,"빠름",IF(H90&gt;가정!$B$18,"느림","적정"))</f>
        <v>느림</v>
      </c>
    </row>
    <row r="91" customFormat="false" ht="15" hidden="false" customHeight="true" outlineLevel="0" collapsed="false">
      <c r="A91" s="27" t="n">
        <v>90</v>
      </c>
      <c r="B91" s="28" t="n">
        <f aca="false">가정!$B$5*가정!$B$6^(A91-1)</f>
        <v>21426.8493782969</v>
      </c>
      <c r="C91" s="28" t="n">
        <f aca="false">B91*가정!$B$7</f>
        <v>214268.493782969</v>
      </c>
      <c r="D91" s="28" t="n">
        <f aca="false">가정!$B$9*가정!$B$10^(A91-1)*가정!$B$7</f>
        <v>12484.8495744703</v>
      </c>
      <c r="E91" s="28" t="n">
        <f aca="false">E90+D91</f>
        <v>178682.843900741</v>
      </c>
      <c r="F91" s="27" t="n">
        <f aca="false">INT(LOG(E91*(가정!$B$14-1)/가정!$B$13+1)/LOG(가정!$B$14))</f>
        <v>67</v>
      </c>
      <c r="G91" s="28" t="n">
        <f aca="false">가정!$B$12+F91*가정!$B$15</f>
        <v>206</v>
      </c>
      <c r="H91" s="29" t="n">
        <f aca="false">C91/G91</f>
        <v>1040.1383193348</v>
      </c>
      <c r="I91" s="29" t="n">
        <f aca="false">I90+H91/60</f>
        <v>238.7188678763</v>
      </c>
      <c r="J91" s="30" t="str">
        <f aca="false">IF(H91&lt;가정!$B$17,"빠름",IF(H91&gt;가정!$B$18,"느림","적정"))</f>
        <v>느림</v>
      </c>
    </row>
    <row r="92" customFormat="false" ht="15" hidden="false" customHeight="true" outlineLevel="0" collapsed="false">
      <c r="A92" s="23" t="n">
        <v>91</v>
      </c>
      <c r="B92" s="24" t="n">
        <f aca="false">가정!$B$5*가정!$B$6^(A92-1)</f>
        <v>23355.2658223437</v>
      </c>
      <c r="C92" s="24" t="n">
        <f aca="false">B92*가정!$B$7</f>
        <v>233552.658223437</v>
      </c>
      <c r="D92" s="24" t="n">
        <f aca="false">가정!$B$9*가정!$B$10^(A92-1)*가정!$B$7</f>
        <v>13421.2132925556</v>
      </c>
      <c r="E92" s="24" t="n">
        <f aca="false">E91+D92</f>
        <v>192104.057193296</v>
      </c>
      <c r="F92" s="23" t="n">
        <f aca="false">INT(LOG(E92*(가정!$B$14-1)/가정!$B$13+1)/LOG(가정!$B$14))</f>
        <v>68</v>
      </c>
      <c r="G92" s="24" t="n">
        <f aca="false">가정!$B$12+F92*가정!$B$15</f>
        <v>209</v>
      </c>
      <c r="H92" s="25" t="n">
        <f aca="false">C92/G92</f>
        <v>1117.47683360496</v>
      </c>
      <c r="I92" s="25" t="n">
        <f aca="false">I91+H92/60</f>
        <v>257.343481769716</v>
      </c>
      <c r="J92" s="26" t="str">
        <f aca="false">IF(H92&lt;가정!$B$17,"빠름",IF(H92&gt;가정!$B$18,"느림","적정"))</f>
        <v>느림</v>
      </c>
    </row>
    <row r="93" customFormat="false" ht="15" hidden="false" customHeight="true" outlineLevel="0" collapsed="false">
      <c r="A93" s="23" t="n">
        <v>92</v>
      </c>
      <c r="B93" s="24" t="n">
        <f aca="false">가정!$B$5*가정!$B$6^(A93-1)</f>
        <v>25457.2397463546</v>
      </c>
      <c r="C93" s="24" t="n">
        <f aca="false">B93*가정!$B$7</f>
        <v>254572.397463546</v>
      </c>
      <c r="D93" s="24" t="n">
        <f aca="false">가정!$B$9*가정!$B$10^(A93-1)*가정!$B$7</f>
        <v>14427.8042894972</v>
      </c>
      <c r="E93" s="24" t="n">
        <f aca="false">E92+D93</f>
        <v>206531.861482794</v>
      </c>
      <c r="F93" s="23" t="n">
        <f aca="false">INT(LOG(E93*(가정!$B$14-1)/가정!$B$13+1)/LOG(가정!$B$14))</f>
        <v>68</v>
      </c>
      <c r="G93" s="24" t="n">
        <f aca="false">가정!$B$12+F93*가정!$B$15</f>
        <v>209</v>
      </c>
      <c r="H93" s="25" t="n">
        <f aca="false">C93/G93</f>
        <v>1218.04974862941</v>
      </c>
      <c r="I93" s="25" t="n">
        <f aca="false">I92+H93/60</f>
        <v>277.644310913539</v>
      </c>
      <c r="J93" s="26" t="str">
        <f aca="false">IF(H93&lt;가정!$B$17,"빠름",IF(H93&gt;가정!$B$18,"느림","적정"))</f>
        <v>느림</v>
      </c>
    </row>
    <row r="94" customFormat="false" ht="15" hidden="false" customHeight="true" outlineLevel="0" collapsed="false">
      <c r="A94" s="23" t="n">
        <v>93</v>
      </c>
      <c r="B94" s="24" t="n">
        <f aca="false">가정!$B$5*가정!$B$6^(A94-1)</f>
        <v>27748.3913235265</v>
      </c>
      <c r="C94" s="24" t="n">
        <f aca="false">B94*가정!$B$7</f>
        <v>277483.913235265</v>
      </c>
      <c r="D94" s="24" t="n">
        <f aca="false">가정!$B$9*가정!$B$10^(A94-1)*가정!$B$7</f>
        <v>15509.8896112095</v>
      </c>
      <c r="E94" s="24" t="n">
        <f aca="false">E93+D94</f>
        <v>222041.751094003</v>
      </c>
      <c r="F94" s="23" t="n">
        <f aca="false">INT(LOG(E94*(가정!$B$14-1)/가정!$B$13+1)/LOG(가정!$B$14))</f>
        <v>69</v>
      </c>
      <c r="G94" s="24" t="n">
        <f aca="false">가정!$B$12+F94*가정!$B$15</f>
        <v>212</v>
      </c>
      <c r="H94" s="25" t="n">
        <f aca="false">C94/G94</f>
        <v>1308.88638318521</v>
      </c>
      <c r="I94" s="25" t="n">
        <f aca="false">I93+H94/60</f>
        <v>299.459083966626</v>
      </c>
      <c r="J94" s="26" t="str">
        <f aca="false">IF(H94&lt;가정!$B$17,"빠름",IF(H94&gt;가정!$B$18,"느림","적정"))</f>
        <v>느림</v>
      </c>
    </row>
    <row r="95" customFormat="false" ht="15" hidden="false" customHeight="true" outlineLevel="0" collapsed="false">
      <c r="A95" s="23" t="n">
        <v>94</v>
      </c>
      <c r="B95" s="24" t="n">
        <f aca="false">가정!$B$5*가정!$B$6^(A95-1)</f>
        <v>30245.7465426439</v>
      </c>
      <c r="C95" s="24" t="n">
        <f aca="false">B95*가정!$B$7</f>
        <v>302457.465426439</v>
      </c>
      <c r="D95" s="24" t="n">
        <f aca="false">가정!$B$9*가정!$B$10^(A95-1)*가정!$B$7</f>
        <v>16673.1313320502</v>
      </c>
      <c r="E95" s="24" t="n">
        <f aca="false">E94+D95</f>
        <v>238714.882426053</v>
      </c>
      <c r="F95" s="23" t="n">
        <f aca="false">INT(LOG(E95*(가정!$B$14-1)/가정!$B$13+1)/LOG(가정!$B$14))</f>
        <v>70</v>
      </c>
      <c r="G95" s="24" t="n">
        <f aca="false">가정!$B$12+F95*가정!$B$15</f>
        <v>215</v>
      </c>
      <c r="H95" s="25" t="n">
        <f aca="false">C95/G95</f>
        <v>1406.77890896018</v>
      </c>
      <c r="I95" s="25" t="n">
        <f aca="false">I94+H95/60</f>
        <v>322.905399115963</v>
      </c>
      <c r="J95" s="26" t="str">
        <f aca="false">IF(H95&lt;가정!$B$17,"빠름",IF(H95&gt;가정!$B$18,"느림","적정"))</f>
        <v>느림</v>
      </c>
    </row>
    <row r="96" customFormat="false" ht="15" hidden="false" customHeight="true" outlineLevel="0" collapsed="false">
      <c r="A96" s="23" t="n">
        <v>95</v>
      </c>
      <c r="B96" s="24" t="n">
        <f aca="false">가정!$B$5*가정!$B$6^(A96-1)</f>
        <v>32967.8637314818</v>
      </c>
      <c r="C96" s="24" t="n">
        <f aca="false">B96*가정!$B$7</f>
        <v>329678.637314818</v>
      </c>
      <c r="D96" s="24" t="n">
        <f aca="false">가정!$B$9*가정!$B$10^(A96-1)*가정!$B$7</f>
        <v>17923.616181954</v>
      </c>
      <c r="E96" s="24" t="n">
        <f aca="false">E95+D96</f>
        <v>256638.498608007</v>
      </c>
      <c r="F96" s="23" t="n">
        <f aca="false">INT(LOG(E96*(가정!$B$14-1)/가정!$B$13+1)/LOG(가정!$B$14))</f>
        <v>70</v>
      </c>
      <c r="G96" s="24" t="n">
        <f aca="false">가정!$B$12+F96*가정!$B$15</f>
        <v>215</v>
      </c>
      <c r="H96" s="25" t="n">
        <f aca="false">C96/G96</f>
        <v>1533.3890107666</v>
      </c>
      <c r="I96" s="25" t="n">
        <f aca="false">I95+H96/60</f>
        <v>348.461882628739</v>
      </c>
      <c r="J96" s="26" t="str">
        <f aca="false">IF(H96&lt;가정!$B$17,"빠름",IF(H96&gt;가정!$B$18,"느림","적정"))</f>
        <v>느림</v>
      </c>
    </row>
    <row r="97" customFormat="false" ht="15" hidden="false" customHeight="true" outlineLevel="0" collapsed="false">
      <c r="A97" s="23" t="n">
        <v>96</v>
      </c>
      <c r="B97" s="24" t="n">
        <f aca="false">가정!$B$5*가정!$B$6^(A97-1)</f>
        <v>35934.9714673152</v>
      </c>
      <c r="C97" s="24" t="n">
        <f aca="false">B97*가정!$B$7</f>
        <v>359349.714673152</v>
      </c>
      <c r="D97" s="24" t="n">
        <f aca="false">가정!$B$9*가정!$B$10^(A97-1)*가정!$B$7</f>
        <v>19267.8873956005</v>
      </c>
      <c r="E97" s="24" t="n">
        <f aca="false">E96+D97</f>
        <v>275906.386003608</v>
      </c>
      <c r="F97" s="23" t="n">
        <f aca="false">INT(LOG(E97*(가정!$B$14-1)/가정!$B$13+1)/LOG(가정!$B$14))</f>
        <v>71</v>
      </c>
      <c r="G97" s="24" t="n">
        <f aca="false">가정!$B$12+F97*가정!$B$15</f>
        <v>218</v>
      </c>
      <c r="H97" s="25" t="n">
        <f aca="false">C97/G97</f>
        <v>1648.39318657409</v>
      </c>
      <c r="I97" s="25" t="n">
        <f aca="false">I96+H97/60</f>
        <v>375.935102404974</v>
      </c>
      <c r="J97" s="26" t="str">
        <f aca="false">IF(H97&lt;가정!$B$17,"빠름",IF(H97&gt;가정!$B$18,"느림","적정"))</f>
        <v>느림</v>
      </c>
    </row>
    <row r="98" customFormat="false" ht="15" hidden="false" customHeight="true" outlineLevel="0" collapsed="false">
      <c r="A98" s="23" t="n">
        <v>97</v>
      </c>
      <c r="B98" s="24" t="n">
        <f aca="false">가정!$B$5*가정!$B$6^(A98-1)</f>
        <v>39169.1188993736</v>
      </c>
      <c r="C98" s="24" t="n">
        <f aca="false">B98*가정!$B$7</f>
        <v>391691.188993736</v>
      </c>
      <c r="D98" s="24" t="n">
        <f aca="false">가정!$B$9*가정!$B$10^(A98-1)*가정!$B$7</f>
        <v>20712.9789502706</v>
      </c>
      <c r="E98" s="24" t="n">
        <f aca="false">E97+D98</f>
        <v>296619.364953879</v>
      </c>
      <c r="F98" s="23" t="n">
        <f aca="false">INT(LOG(E98*(가정!$B$14-1)/가정!$B$13+1)/LOG(가정!$B$14))</f>
        <v>72</v>
      </c>
      <c r="G98" s="24" t="n">
        <f aca="false">가정!$B$12+F98*가정!$B$15</f>
        <v>221</v>
      </c>
      <c r="H98" s="25" t="n">
        <f aca="false">C98/G98</f>
        <v>1772.35832123862</v>
      </c>
      <c r="I98" s="25" t="n">
        <f aca="false">I97+H98/60</f>
        <v>405.474407758951</v>
      </c>
      <c r="J98" s="26" t="str">
        <f aca="false">IF(H98&lt;가정!$B$17,"빠름",IF(H98&gt;가정!$B$18,"느림","적정"))</f>
        <v>느림</v>
      </c>
    </row>
    <row r="99" customFormat="false" ht="15" hidden="false" customHeight="true" outlineLevel="0" collapsed="false">
      <c r="A99" s="23" t="n">
        <v>98</v>
      </c>
      <c r="B99" s="24" t="n">
        <f aca="false">가정!$B$5*가정!$B$6^(A99-1)</f>
        <v>42694.3396003172</v>
      </c>
      <c r="C99" s="24" t="n">
        <f aca="false">B99*가정!$B$7</f>
        <v>426943.396003172</v>
      </c>
      <c r="D99" s="24" t="n">
        <f aca="false">가정!$B$9*가정!$B$10^(A99-1)*가정!$B$7</f>
        <v>22266.4523715409</v>
      </c>
      <c r="E99" s="24" t="n">
        <f aca="false">E98+D99</f>
        <v>318885.817325419</v>
      </c>
      <c r="F99" s="23" t="n">
        <f aca="false">INT(LOG(E99*(가정!$B$14-1)/가정!$B$13+1)/LOG(가정!$B$14))</f>
        <v>72</v>
      </c>
      <c r="G99" s="24" t="n">
        <f aca="false">가정!$B$12+F99*가정!$B$15</f>
        <v>221</v>
      </c>
      <c r="H99" s="25" t="n">
        <f aca="false">C99/G99</f>
        <v>1931.8705701501</v>
      </c>
      <c r="I99" s="25" t="n">
        <f aca="false">I98+H99/60</f>
        <v>437.672250594786</v>
      </c>
      <c r="J99" s="26" t="str">
        <f aca="false">IF(H99&lt;가정!$B$17,"빠름",IF(H99&gt;가정!$B$18,"느림","적정"))</f>
        <v>느림</v>
      </c>
    </row>
    <row r="100" customFormat="false" ht="15" hidden="false" customHeight="true" outlineLevel="0" collapsed="false">
      <c r="A100" s="23" t="n">
        <v>99</v>
      </c>
      <c r="B100" s="24" t="n">
        <f aca="false">가정!$B$5*가정!$B$6^(A100-1)</f>
        <v>46536.8301643458</v>
      </c>
      <c r="C100" s="24" t="n">
        <f aca="false">B100*가정!$B$7</f>
        <v>465368.301643458</v>
      </c>
      <c r="D100" s="24" t="n">
        <f aca="false">가정!$B$9*가정!$B$10^(A100-1)*가정!$B$7</f>
        <v>23936.4362994064</v>
      </c>
      <c r="E100" s="24" t="n">
        <f aca="false">E99+D100</f>
        <v>342822.253624826</v>
      </c>
      <c r="F100" s="23" t="n">
        <f aca="false">INT(LOG(E100*(가정!$B$14-1)/가정!$B$13+1)/LOG(가정!$B$14))</f>
        <v>73</v>
      </c>
      <c r="G100" s="24" t="n">
        <f aca="false">가정!$B$12+F100*가정!$B$15</f>
        <v>224</v>
      </c>
      <c r="H100" s="25" t="n">
        <f aca="false">C100/G100</f>
        <v>2077.53706090829</v>
      </c>
      <c r="I100" s="25" t="n">
        <f aca="false">I99+H100/60</f>
        <v>472.297868276591</v>
      </c>
      <c r="J100" s="26" t="str">
        <f aca="false">IF(H100&lt;가정!$B$17,"빠름",IF(H100&gt;가정!$B$18,"느림","적정"))</f>
        <v>느림</v>
      </c>
    </row>
    <row r="101" customFormat="false" ht="15" hidden="false" customHeight="true" outlineLevel="0" collapsed="false">
      <c r="A101" s="27" t="n">
        <v>100</v>
      </c>
      <c r="B101" s="28" t="n">
        <f aca="false">가정!$B$5*가정!$B$6^(A101-1)</f>
        <v>50725.1448791369</v>
      </c>
      <c r="C101" s="28" t="n">
        <f aca="false">B101*가정!$B$7</f>
        <v>507251.448791369</v>
      </c>
      <c r="D101" s="28" t="n">
        <f aca="false">가정!$B$9*가정!$B$10^(A101-1)*가정!$B$7</f>
        <v>25731.6690218619</v>
      </c>
      <c r="E101" s="28" t="n">
        <f aca="false">E100+D101</f>
        <v>368553.922646688</v>
      </c>
      <c r="F101" s="27" t="n">
        <f aca="false">INT(LOG(E101*(가정!$B$14-1)/가정!$B$13+1)/LOG(가정!$B$14))</f>
        <v>74</v>
      </c>
      <c r="G101" s="28" t="n">
        <f aca="false">가정!$B$12+F101*가정!$B$15</f>
        <v>227</v>
      </c>
      <c r="H101" s="29" t="n">
        <f aca="false">C101/G101</f>
        <v>2234.58788013819</v>
      </c>
      <c r="I101" s="29" t="n">
        <f aca="false">I100+H101/60</f>
        <v>509.540999612227</v>
      </c>
      <c r="J101" s="30" t="str">
        <f aca="false">IF(H101&lt;가정!$B$17,"빠름",IF(H101&gt;가정!$B$18,"느림","적정"))</f>
        <v>느림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8"/>
  </cols>
  <sheetData>
    <row r="1" customFormat="false" ht="15" hidden="false" customHeight="true" outlineLevel="0" collapsed="false">
      <c r="A1" s="21" t="s">
        <v>85</v>
      </c>
      <c r="B1" s="21" t="s">
        <v>86</v>
      </c>
      <c r="C1" s="21" t="s">
        <v>87</v>
      </c>
      <c r="D1" s="21" t="s">
        <v>88</v>
      </c>
      <c r="E1" s="21" t="s">
        <v>89</v>
      </c>
    </row>
    <row r="2" customFormat="false" ht="15" hidden="false" customHeight="true" outlineLevel="0" collapsed="false">
      <c r="A2" s="23" t="n">
        <v>1</v>
      </c>
      <c r="B2" s="24" t="n">
        <f aca="false">가정!$B$13*가정!$B$14^(A2-1)</f>
        <v>10</v>
      </c>
      <c r="C2" s="24" t="n">
        <f aca="false">B2</f>
        <v>10</v>
      </c>
      <c r="D2" s="24" t="n">
        <f aca="false">가정!$B$12+A2*가정!$B$15</f>
        <v>8</v>
      </c>
      <c r="E2" s="31" t="n">
        <f aca="false">D2/C2</f>
        <v>0.8</v>
      </c>
    </row>
    <row r="3" customFormat="false" ht="15" hidden="false" customHeight="true" outlineLevel="0" collapsed="false">
      <c r="A3" s="23" t="n">
        <v>2</v>
      </c>
      <c r="B3" s="24" t="n">
        <f aca="false">가정!$B$13*가정!$B$14^(A3-1)</f>
        <v>11.2</v>
      </c>
      <c r="C3" s="24" t="n">
        <f aca="false">C2+B3</f>
        <v>21.2</v>
      </c>
      <c r="D3" s="24" t="n">
        <f aca="false">가정!$B$12+A3*가정!$B$15</f>
        <v>11</v>
      </c>
      <c r="E3" s="31" t="n">
        <f aca="false">D3/C3</f>
        <v>0.518867924528302</v>
      </c>
    </row>
    <row r="4" customFormat="false" ht="15" hidden="false" customHeight="true" outlineLevel="0" collapsed="false">
      <c r="A4" s="23" t="n">
        <v>3</v>
      </c>
      <c r="B4" s="24" t="n">
        <f aca="false">가정!$B$13*가정!$B$14^(A4-1)</f>
        <v>12.544</v>
      </c>
      <c r="C4" s="24" t="n">
        <f aca="false">C3+B4</f>
        <v>33.744</v>
      </c>
      <c r="D4" s="24" t="n">
        <f aca="false">가정!$B$12+A4*가정!$B$15</f>
        <v>14</v>
      </c>
      <c r="E4" s="31" t="n">
        <f aca="false">D4/C4</f>
        <v>0.41488857278331</v>
      </c>
    </row>
    <row r="5" customFormat="false" ht="15" hidden="false" customHeight="true" outlineLevel="0" collapsed="false">
      <c r="A5" s="23" t="n">
        <v>4</v>
      </c>
      <c r="B5" s="24" t="n">
        <f aca="false">가정!$B$13*가정!$B$14^(A5-1)</f>
        <v>14.04928</v>
      </c>
      <c r="C5" s="24" t="n">
        <f aca="false">C4+B5</f>
        <v>47.79328</v>
      </c>
      <c r="D5" s="24" t="n">
        <f aca="false">가정!$B$12+A5*가정!$B$15</f>
        <v>17</v>
      </c>
      <c r="E5" s="31" t="n">
        <f aca="false">D5/C5</f>
        <v>0.355698541719673</v>
      </c>
    </row>
    <row r="6" customFormat="false" ht="15" hidden="false" customHeight="true" outlineLevel="0" collapsed="false">
      <c r="A6" s="23" t="n">
        <v>5</v>
      </c>
      <c r="B6" s="24" t="n">
        <f aca="false">가정!$B$13*가정!$B$14^(A6-1)</f>
        <v>15.7351936</v>
      </c>
      <c r="C6" s="24" t="n">
        <f aca="false">C5+B6</f>
        <v>63.5284736</v>
      </c>
      <c r="D6" s="24" t="n">
        <f aca="false">가정!$B$12+A6*가정!$B$15</f>
        <v>20</v>
      </c>
      <c r="E6" s="31" t="n">
        <f aca="false">D6/C6</f>
        <v>0.314819463882098</v>
      </c>
    </row>
    <row r="7" customFormat="false" ht="15" hidden="false" customHeight="true" outlineLevel="0" collapsed="false">
      <c r="A7" s="23" t="n">
        <v>6</v>
      </c>
      <c r="B7" s="24" t="n">
        <f aca="false">가정!$B$13*가정!$B$14^(A7-1)</f>
        <v>17.623416832</v>
      </c>
      <c r="C7" s="24" t="n">
        <f aca="false">C6+B7</f>
        <v>81.151890432</v>
      </c>
      <c r="D7" s="24" t="n">
        <f aca="false">가정!$B$12+A7*가정!$B$15</f>
        <v>23</v>
      </c>
      <c r="E7" s="31" t="n">
        <f aca="false">D7/C7</f>
        <v>0.283419152376647</v>
      </c>
    </row>
    <row r="8" customFormat="false" ht="15" hidden="false" customHeight="true" outlineLevel="0" collapsed="false">
      <c r="A8" s="23" t="n">
        <v>7</v>
      </c>
      <c r="B8" s="24" t="n">
        <f aca="false">가정!$B$13*가정!$B$14^(A8-1)</f>
        <v>19.73822685184</v>
      </c>
      <c r="C8" s="24" t="n">
        <f aca="false">C7+B8</f>
        <v>100.89011728384</v>
      </c>
      <c r="D8" s="24" t="n">
        <f aca="false">가정!$B$12+A8*가정!$B$15</f>
        <v>26</v>
      </c>
      <c r="E8" s="31" t="n">
        <f aca="false">D8/C8</f>
        <v>0.257706113343616</v>
      </c>
    </row>
    <row r="9" customFormat="false" ht="15" hidden="false" customHeight="true" outlineLevel="0" collapsed="false">
      <c r="A9" s="23" t="n">
        <v>8</v>
      </c>
      <c r="B9" s="24" t="n">
        <f aca="false">가정!$B$13*가정!$B$14^(A9-1)</f>
        <v>22.1068140740608</v>
      </c>
      <c r="C9" s="24" t="n">
        <f aca="false">C8+B9</f>
        <v>122.996931357901</v>
      </c>
      <c r="D9" s="24" t="n">
        <f aca="false">가정!$B$12+A9*가정!$B$15</f>
        <v>29</v>
      </c>
      <c r="E9" s="31" t="n">
        <f aca="false">D9/C9</f>
        <v>0.235778239992141</v>
      </c>
    </row>
    <row r="10" customFormat="false" ht="15" hidden="false" customHeight="true" outlineLevel="0" collapsed="false">
      <c r="A10" s="23" t="n">
        <v>9</v>
      </c>
      <c r="B10" s="24" t="n">
        <f aca="false">가정!$B$13*가정!$B$14^(A10-1)</f>
        <v>24.7596317629481</v>
      </c>
      <c r="C10" s="24" t="n">
        <f aca="false">C9+B10</f>
        <v>147.756563120849</v>
      </c>
      <c r="D10" s="24" t="n">
        <f aca="false">가정!$B$12+A10*가정!$B$15</f>
        <v>32</v>
      </c>
      <c r="E10" s="31" t="n">
        <f aca="false">D10/C10</f>
        <v>0.216572444053314</v>
      </c>
    </row>
    <row r="11" customFormat="false" ht="15" hidden="false" customHeight="true" outlineLevel="0" collapsed="false">
      <c r="A11" s="23" t="n">
        <v>10</v>
      </c>
      <c r="B11" s="24" t="n">
        <f aca="false">가정!$B$13*가정!$B$14^(A11-1)</f>
        <v>27.7307875745019</v>
      </c>
      <c r="C11" s="24" t="n">
        <f aca="false">C10+B11</f>
        <v>175.487350695351</v>
      </c>
      <c r="D11" s="24" t="n">
        <f aca="false">가정!$B$12+A11*가정!$B$15</f>
        <v>35</v>
      </c>
      <c r="E11" s="31" t="n">
        <f aca="false">D11/C11</f>
        <v>0.199444574559454</v>
      </c>
    </row>
    <row r="12" customFormat="false" ht="15" hidden="false" customHeight="true" outlineLevel="0" collapsed="false">
      <c r="A12" s="23" t="n">
        <v>11</v>
      </c>
      <c r="B12" s="24" t="n">
        <f aca="false">가정!$B$13*가정!$B$14^(A12-1)</f>
        <v>31.0584820834421</v>
      </c>
      <c r="C12" s="24" t="n">
        <f aca="false">C11+B12</f>
        <v>206.545832778793</v>
      </c>
      <c r="D12" s="24" t="n">
        <f aca="false">가정!$B$12+A12*가정!$B$15</f>
        <v>38</v>
      </c>
      <c r="E12" s="31" t="n">
        <f aca="false">D12/C12</f>
        <v>0.183978536331437</v>
      </c>
    </row>
    <row r="13" customFormat="false" ht="15" hidden="false" customHeight="true" outlineLevel="0" collapsed="false">
      <c r="A13" s="23" t="n">
        <v>12</v>
      </c>
      <c r="B13" s="24" t="n">
        <f aca="false">가정!$B$13*가정!$B$14^(A13-1)</f>
        <v>34.7854999334552</v>
      </c>
      <c r="C13" s="24" t="n">
        <f aca="false">C12+B13</f>
        <v>241.331332712248</v>
      </c>
      <c r="D13" s="24" t="n">
        <f aca="false">가정!$B$12+A13*가정!$B$15</f>
        <v>41</v>
      </c>
      <c r="E13" s="31" t="n">
        <f aca="false">D13/C13</f>
        <v>0.169890911135383</v>
      </c>
    </row>
    <row r="14" customFormat="false" ht="15" hidden="false" customHeight="true" outlineLevel="0" collapsed="false">
      <c r="A14" s="23" t="n">
        <v>13</v>
      </c>
      <c r="B14" s="24" t="n">
        <f aca="false">가정!$B$13*가정!$B$14^(A14-1)</f>
        <v>38.9597599254698</v>
      </c>
      <c r="C14" s="24" t="n">
        <f aca="false">C13+B14</f>
        <v>280.291092637718</v>
      </c>
      <c r="D14" s="24" t="n">
        <f aca="false">가정!$B$12+A14*가정!$B$15</f>
        <v>44</v>
      </c>
      <c r="E14" s="31" t="n">
        <f aca="false">D14/C14</f>
        <v>0.156979658489793</v>
      </c>
    </row>
    <row r="15" customFormat="false" ht="15" hidden="false" customHeight="true" outlineLevel="0" collapsed="false">
      <c r="A15" s="23" t="n">
        <v>14</v>
      </c>
      <c r="B15" s="24" t="n">
        <f aca="false">가정!$B$13*가정!$B$14^(A15-1)</f>
        <v>43.6349311165262</v>
      </c>
      <c r="C15" s="24" t="n">
        <f aca="false">C14+B15</f>
        <v>323.926023754244</v>
      </c>
      <c r="D15" s="24" t="n">
        <f aca="false">가정!$B$12+A15*가정!$B$15</f>
        <v>47</v>
      </c>
      <c r="E15" s="31" t="n">
        <f aca="false">D15/C15</f>
        <v>0.145094856706104</v>
      </c>
    </row>
    <row r="16" customFormat="false" ht="15" hidden="false" customHeight="true" outlineLevel="0" collapsed="false">
      <c r="A16" s="23" t="n">
        <v>15</v>
      </c>
      <c r="B16" s="24" t="n">
        <f aca="false">가정!$B$13*가정!$B$14^(A16-1)</f>
        <v>48.8711228505093</v>
      </c>
      <c r="C16" s="24" t="n">
        <f aca="false">C15+B16</f>
        <v>372.797146604754</v>
      </c>
      <c r="D16" s="24" t="n">
        <f aca="false">가정!$B$12+A16*가정!$B$15</f>
        <v>50</v>
      </c>
      <c r="E16" s="31" t="n">
        <f aca="false">D16/C16</f>
        <v>0.134121198231731</v>
      </c>
    </row>
    <row r="17" customFormat="false" ht="15" hidden="false" customHeight="true" outlineLevel="0" collapsed="false">
      <c r="A17" s="23" t="n">
        <v>16</v>
      </c>
      <c r="B17" s="24" t="n">
        <f aca="false">가정!$B$13*가정!$B$14^(A17-1)</f>
        <v>54.7356575925705</v>
      </c>
      <c r="C17" s="24" t="n">
        <f aca="false">C16+B17</f>
        <v>427.532804197324</v>
      </c>
      <c r="D17" s="24" t="n">
        <f aca="false">가정!$B$12+A17*가정!$B$15</f>
        <v>53</v>
      </c>
      <c r="E17" s="31" t="n">
        <f aca="false">D17/C17</f>
        <v>0.123967095576456</v>
      </c>
    </row>
    <row r="18" customFormat="false" ht="15" hidden="false" customHeight="true" outlineLevel="0" collapsed="false">
      <c r="A18" s="23" t="n">
        <v>17</v>
      </c>
      <c r="B18" s="24" t="n">
        <f aca="false">가정!$B$13*가정!$B$14^(A18-1)</f>
        <v>61.3039365036789</v>
      </c>
      <c r="C18" s="24" t="n">
        <f aca="false">C17+B18</f>
        <v>488.836740701003</v>
      </c>
      <c r="D18" s="24" t="n">
        <f aca="false">가정!$B$12+A18*가정!$B$15</f>
        <v>56</v>
      </c>
      <c r="E18" s="31" t="n">
        <f aca="false">D18/C18</f>
        <v>0.114557674039997</v>
      </c>
    </row>
    <row r="19" customFormat="false" ht="15" hidden="false" customHeight="true" outlineLevel="0" collapsed="false">
      <c r="A19" s="23" t="n">
        <v>18</v>
      </c>
      <c r="B19" s="24" t="n">
        <f aca="false">가정!$B$13*가정!$B$14^(A19-1)</f>
        <v>68.6604088841204</v>
      </c>
      <c r="C19" s="24" t="n">
        <f aca="false">C18+B19</f>
        <v>557.497149585123</v>
      </c>
      <c r="D19" s="24" t="n">
        <f aca="false">가정!$B$12+A19*가정!$B$15</f>
        <v>59</v>
      </c>
      <c r="E19" s="31" t="n">
        <f aca="false">D19/C19</f>
        <v>0.105830137506365</v>
      </c>
    </row>
    <row r="20" customFormat="false" ht="15" hidden="false" customHeight="true" outlineLevel="0" collapsed="false">
      <c r="A20" s="23" t="n">
        <v>19</v>
      </c>
      <c r="B20" s="24" t="n">
        <f aca="false">가정!$B$13*가정!$B$14^(A20-1)</f>
        <v>76.8996579502148</v>
      </c>
      <c r="C20" s="24" t="n">
        <f aca="false">C19+B20</f>
        <v>634.396807535338</v>
      </c>
      <c r="D20" s="24" t="n">
        <f aca="false">가정!$B$12+A20*가정!$B$15</f>
        <v>62</v>
      </c>
      <c r="E20" s="31" t="n">
        <f aca="false">D20/C20</f>
        <v>0.0977306305195213</v>
      </c>
    </row>
    <row r="21" customFormat="false" ht="15" hidden="false" customHeight="true" outlineLevel="0" collapsed="false">
      <c r="A21" s="23" t="n">
        <v>20</v>
      </c>
      <c r="B21" s="24" t="n">
        <f aca="false">가정!$B$13*가정!$B$14^(A21-1)</f>
        <v>86.1276169042406</v>
      </c>
      <c r="C21" s="24" t="n">
        <f aca="false">C20+B21</f>
        <v>720.524424439579</v>
      </c>
      <c r="D21" s="24" t="n">
        <f aca="false">가정!$B$12+A21*가정!$B$15</f>
        <v>65</v>
      </c>
      <c r="E21" s="31" t="n">
        <f aca="false">D21/C21</f>
        <v>0.0902120702577942</v>
      </c>
    </row>
    <row r="22" customFormat="false" ht="15" hidden="false" customHeight="true" outlineLevel="0" collapsed="false">
      <c r="A22" s="23" t="n">
        <v>21</v>
      </c>
      <c r="B22" s="24" t="n">
        <f aca="false">가정!$B$13*가정!$B$14^(A22-1)</f>
        <v>96.4629309327495</v>
      </c>
      <c r="C22" s="24" t="n">
        <f aca="false">C21+B22</f>
        <v>816.987355372328</v>
      </c>
      <c r="D22" s="24" t="n">
        <f aca="false">가정!$B$12+A22*가정!$B$15</f>
        <v>68</v>
      </c>
      <c r="E22" s="31" t="n">
        <f aca="false">D22/C22</f>
        <v>0.0832326223323373</v>
      </c>
    </row>
    <row r="23" customFormat="false" ht="15" hidden="false" customHeight="true" outlineLevel="0" collapsed="false">
      <c r="A23" s="23" t="n">
        <v>22</v>
      </c>
      <c r="B23" s="24" t="n">
        <f aca="false">가정!$B$13*가정!$B$14^(A23-1)</f>
        <v>108.038482644679</v>
      </c>
      <c r="C23" s="24" t="n">
        <f aca="false">C22+B23</f>
        <v>925.025838017008</v>
      </c>
      <c r="D23" s="24" t="n">
        <f aca="false">가정!$B$12+A23*가정!$B$15</f>
        <v>71</v>
      </c>
      <c r="E23" s="31" t="n">
        <f aca="false">D23/C23</f>
        <v>0.0767546127708214</v>
      </c>
    </row>
    <row r="24" customFormat="false" ht="15" hidden="false" customHeight="true" outlineLevel="0" collapsed="false">
      <c r="A24" s="23" t="n">
        <v>23</v>
      </c>
      <c r="B24" s="24" t="n">
        <f aca="false">가정!$B$13*가정!$B$14^(A24-1)</f>
        <v>121.003100562041</v>
      </c>
      <c r="C24" s="24" t="n">
        <f aca="false">C23+B24</f>
        <v>1046.02893857905</v>
      </c>
      <c r="D24" s="24" t="n">
        <f aca="false">가정!$B$12+A24*가정!$B$15</f>
        <v>74</v>
      </c>
      <c r="E24" s="31" t="n">
        <f aca="false">D24/C24</f>
        <v>0.070743740704271</v>
      </c>
    </row>
    <row r="25" customFormat="false" ht="15" hidden="false" customHeight="true" outlineLevel="0" collapsed="false">
      <c r="A25" s="23" t="n">
        <v>24</v>
      </c>
      <c r="B25" s="24" t="n">
        <f aca="false">가정!$B$13*가정!$B$14^(A25-1)</f>
        <v>135.523472629486</v>
      </c>
      <c r="C25" s="24" t="n">
        <f aca="false">C24+B25</f>
        <v>1181.55241120853</v>
      </c>
      <c r="D25" s="24" t="n">
        <f aca="false">가정!$B$12+A25*가정!$B$15</f>
        <v>77</v>
      </c>
      <c r="E25" s="31" t="n">
        <f aca="false">D25/C25</f>
        <v>0.0651685014304542</v>
      </c>
    </row>
    <row r="26" customFormat="false" ht="15" hidden="false" customHeight="true" outlineLevel="0" collapsed="false">
      <c r="A26" s="23" t="n">
        <v>25</v>
      </c>
      <c r="B26" s="24" t="n">
        <f aca="false">가정!$B$13*가정!$B$14^(A26-1)</f>
        <v>151.786289345024</v>
      </c>
      <c r="C26" s="24" t="n">
        <f aca="false">C25+B26</f>
        <v>1333.33870055356</v>
      </c>
      <c r="D26" s="24" t="n">
        <f aca="false">가정!$B$12+A26*가정!$B$15</f>
        <v>80</v>
      </c>
      <c r="E26" s="31" t="n">
        <f aca="false">D26/C26</f>
        <v>0.0599997584760621</v>
      </c>
    </row>
    <row r="27" customFormat="false" ht="15" hidden="false" customHeight="true" outlineLevel="0" collapsed="false">
      <c r="A27" s="23" t="n">
        <v>26</v>
      </c>
      <c r="B27" s="24" t="n">
        <f aca="false">가정!$B$13*가정!$B$14^(A27-1)</f>
        <v>170.000644066427</v>
      </c>
      <c r="C27" s="24" t="n">
        <f aca="false">C26+B27</f>
        <v>1503.33934461999</v>
      </c>
      <c r="D27" s="24" t="n">
        <f aca="false">가정!$B$12+A27*가정!$B$15</f>
        <v>83</v>
      </c>
      <c r="E27" s="31" t="n">
        <f aca="false">D27/C27</f>
        <v>0.0552104222489971</v>
      </c>
    </row>
    <row r="28" customFormat="false" ht="15" hidden="false" customHeight="true" outlineLevel="0" collapsed="false">
      <c r="A28" s="23" t="n">
        <v>27</v>
      </c>
      <c r="B28" s="24" t="n">
        <f aca="false">가정!$B$13*가정!$B$14^(A28-1)</f>
        <v>190.400721354399</v>
      </c>
      <c r="C28" s="24" t="n">
        <f aca="false">C27+B28</f>
        <v>1693.74006597438</v>
      </c>
      <c r="D28" s="24" t="n">
        <f aca="false">가정!$B$12+A28*가정!$B$15</f>
        <v>86</v>
      </c>
      <c r="E28" s="31" t="n">
        <f aca="false">D28/C28</f>
        <v>0.05077520555111</v>
      </c>
    </row>
    <row r="29" customFormat="false" ht="15" hidden="false" customHeight="true" outlineLevel="0" collapsed="false">
      <c r="A29" s="23" t="n">
        <v>28</v>
      </c>
      <c r="B29" s="24" t="n">
        <f aca="false">가정!$B$13*가정!$B$14^(A29-1)</f>
        <v>213.248807916926</v>
      </c>
      <c r="C29" s="24" t="n">
        <f aca="false">C28+B29</f>
        <v>1906.98887389131</v>
      </c>
      <c r="D29" s="24" t="n">
        <f aca="false">가정!$B$12+A29*가정!$B$15</f>
        <v>89</v>
      </c>
      <c r="E29" s="31" t="n">
        <f aca="false">D29/C29</f>
        <v>0.046670434850724</v>
      </c>
    </row>
    <row r="30" customFormat="false" ht="15" hidden="false" customHeight="true" outlineLevel="0" collapsed="false">
      <c r="A30" s="23" t="n">
        <v>29</v>
      </c>
      <c r="B30" s="24" t="n">
        <f aca="false">가정!$B$13*가정!$B$14^(A30-1)</f>
        <v>238.838664866958</v>
      </c>
      <c r="C30" s="24" t="n">
        <f aca="false">C29+B30</f>
        <v>2145.82753875827</v>
      </c>
      <c r="D30" s="24" t="n">
        <f aca="false">가정!$B$12+A30*가정!$B$15</f>
        <v>92</v>
      </c>
      <c r="E30" s="31" t="n">
        <f aca="false">D30/C30</f>
        <v>0.0428739021837877</v>
      </c>
    </row>
    <row r="31" customFormat="false" ht="15" hidden="false" customHeight="true" outlineLevel="0" collapsed="false">
      <c r="A31" s="23" t="n">
        <v>30</v>
      </c>
      <c r="B31" s="24" t="n">
        <f aca="false">가정!$B$13*가정!$B$14^(A31-1)</f>
        <v>267.499304650993</v>
      </c>
      <c r="C31" s="24" t="n">
        <f aca="false">C30+B31</f>
        <v>2413.32684340926</v>
      </c>
      <c r="D31" s="24" t="n">
        <f aca="false">가정!$B$12+A31*가정!$B$15</f>
        <v>95</v>
      </c>
      <c r="E31" s="31" t="n">
        <f aca="false">D31/C31</f>
        <v>0.0393647467434603</v>
      </c>
    </row>
    <row r="32" customFormat="false" ht="15" hidden="false" customHeight="true" outlineLevel="0" collapsed="false">
      <c r="A32" s="23" t="n">
        <v>31</v>
      </c>
      <c r="B32" s="24" t="n">
        <f aca="false">가정!$B$13*가정!$B$14^(A32-1)</f>
        <v>299.599221209112</v>
      </c>
      <c r="C32" s="24" t="n">
        <f aca="false">C31+B32</f>
        <v>2712.92606461837</v>
      </c>
      <c r="D32" s="24" t="n">
        <f aca="false">가정!$B$12+A32*가정!$B$15</f>
        <v>98</v>
      </c>
      <c r="E32" s="31" t="n">
        <f aca="false">D32/C32</f>
        <v>0.0361233581991427</v>
      </c>
    </row>
    <row r="33" customFormat="false" ht="15" hidden="false" customHeight="true" outlineLevel="0" collapsed="false">
      <c r="A33" s="23" t="n">
        <v>32</v>
      </c>
      <c r="B33" s="24" t="n">
        <f aca="false">가정!$B$13*가정!$B$14^(A33-1)</f>
        <v>335.551127754205</v>
      </c>
      <c r="C33" s="24" t="n">
        <f aca="false">C32+B33</f>
        <v>3048.47719237258</v>
      </c>
      <c r="D33" s="24" t="n">
        <f aca="false">가정!$B$12+A33*가정!$B$15</f>
        <v>101</v>
      </c>
      <c r="E33" s="31" t="n">
        <f aca="false">D33/C33</f>
        <v>0.0331312959311969</v>
      </c>
    </row>
    <row r="34" customFormat="false" ht="15" hidden="false" customHeight="true" outlineLevel="0" collapsed="false">
      <c r="A34" s="23" t="n">
        <v>33</v>
      </c>
      <c r="B34" s="24" t="n">
        <f aca="false">가정!$B$13*가정!$B$14^(A34-1)</f>
        <v>375.81726308471</v>
      </c>
      <c r="C34" s="24" t="n">
        <f aca="false">C33+B34</f>
        <v>3424.29445545729</v>
      </c>
      <c r="D34" s="24" t="n">
        <f aca="false">가정!$B$12+A34*가정!$B$15</f>
        <v>104</v>
      </c>
      <c r="E34" s="31" t="n">
        <f aca="false">D34/C34</f>
        <v>0.030371219926562</v>
      </c>
    </row>
    <row r="35" customFormat="false" ht="15" hidden="false" customHeight="true" outlineLevel="0" collapsed="false">
      <c r="A35" s="23" t="n">
        <v>34</v>
      </c>
      <c r="B35" s="24" t="n">
        <f aca="false">가정!$B$13*가정!$B$14^(A35-1)</f>
        <v>420.915334654875</v>
      </c>
      <c r="C35" s="24" t="n">
        <f aca="false">C34+B35</f>
        <v>3845.20979011216</v>
      </c>
      <c r="D35" s="24" t="n">
        <f aca="false">가정!$B$12+A35*가정!$B$15</f>
        <v>107</v>
      </c>
      <c r="E35" s="31" t="n">
        <f aca="false">D35/C35</f>
        <v>0.0278268302226701</v>
      </c>
    </row>
    <row r="36" customFormat="false" ht="15" hidden="false" customHeight="true" outlineLevel="0" collapsed="false">
      <c r="A36" s="23" t="n">
        <v>35</v>
      </c>
      <c r="B36" s="24" t="n">
        <f aca="false">가정!$B$13*가정!$B$14^(A36-1)</f>
        <v>471.42517481346</v>
      </c>
      <c r="C36" s="24" t="n">
        <f aca="false">C35+B36</f>
        <v>4316.63496492562</v>
      </c>
      <c r="D36" s="24" t="n">
        <f aca="false">가정!$B$12+A36*가정!$B$15</f>
        <v>110</v>
      </c>
      <c r="E36" s="31" t="n">
        <f aca="false">D36/C36</f>
        <v>0.0254828126292341</v>
      </c>
    </row>
    <row r="37" customFormat="false" ht="15" hidden="false" customHeight="true" outlineLevel="0" collapsed="false">
      <c r="A37" s="23" t="n">
        <v>36</v>
      </c>
      <c r="B37" s="24" t="n">
        <f aca="false">가정!$B$13*가정!$B$14^(A37-1)</f>
        <v>527.996195791075</v>
      </c>
      <c r="C37" s="24" t="n">
        <f aca="false">C36+B37</f>
        <v>4844.6311607167</v>
      </c>
      <c r="D37" s="24" t="n">
        <f aca="false">가정!$B$12+A37*가정!$B$15</f>
        <v>113</v>
      </c>
      <c r="E37" s="31" t="n">
        <f aca="false">D37/C37</f>
        <v>0.0233247890812153</v>
      </c>
    </row>
    <row r="38" customFormat="false" ht="15" hidden="false" customHeight="true" outlineLevel="0" collapsed="false">
      <c r="A38" s="23" t="n">
        <v>37</v>
      </c>
      <c r="B38" s="24" t="n">
        <f aca="false">가정!$B$13*가정!$B$14^(A38-1)</f>
        <v>591.355739286004</v>
      </c>
      <c r="C38" s="24" t="n">
        <f aca="false">C37+B38</f>
        <v>5435.9869000027</v>
      </c>
      <c r="D38" s="24" t="n">
        <f aca="false">가정!$B$12+A38*가정!$B$15</f>
        <v>116</v>
      </c>
      <c r="E38" s="31" t="n">
        <f aca="false">D38/C38</f>
        <v>0.0213392714393669</v>
      </c>
    </row>
    <row r="39" customFormat="false" ht="15" hidden="false" customHeight="true" outlineLevel="0" collapsed="false">
      <c r="A39" s="23" t="n">
        <v>38</v>
      </c>
      <c r="B39" s="24" t="n">
        <f aca="false">가정!$B$13*가정!$B$14^(A39-1)</f>
        <v>662.318428000325</v>
      </c>
      <c r="C39" s="24" t="n">
        <f aca="false">C38+B39</f>
        <v>6098.30532800303</v>
      </c>
      <c r="D39" s="24" t="n">
        <f aca="false">가정!$B$12+A39*가정!$B$15</f>
        <v>119</v>
      </c>
      <c r="E39" s="31" t="n">
        <f aca="false">D39/C39</f>
        <v>0.0195136178986578</v>
      </c>
    </row>
    <row r="40" customFormat="false" ht="15" hidden="false" customHeight="true" outlineLevel="0" collapsed="false">
      <c r="A40" s="23" t="n">
        <v>39</v>
      </c>
      <c r="B40" s="24" t="n">
        <f aca="false">가정!$B$13*가정!$B$14^(A40-1)</f>
        <v>741.796639360364</v>
      </c>
      <c r="C40" s="24" t="n">
        <f aca="false">C39+B40</f>
        <v>6840.10196736339</v>
      </c>
      <c r="D40" s="24" t="n">
        <f aca="false">가정!$B$12+A40*가정!$B$15</f>
        <v>122</v>
      </c>
      <c r="E40" s="31" t="n">
        <f aca="false">D40/C40</f>
        <v>0.0178359914197341</v>
      </c>
    </row>
    <row r="41" customFormat="false" ht="15" hidden="false" customHeight="true" outlineLevel="0" collapsed="false">
      <c r="A41" s="23" t="n">
        <v>40</v>
      </c>
      <c r="B41" s="24" t="n">
        <f aca="false">가정!$B$13*가정!$B$14^(A41-1)</f>
        <v>830.812236083607</v>
      </c>
      <c r="C41" s="24" t="n">
        <f aca="false">C40+B41</f>
        <v>7670.914203447</v>
      </c>
      <c r="D41" s="24" t="n">
        <f aca="false">가정!$B$12+A41*가정!$B$15</f>
        <v>125</v>
      </c>
      <c r="E41" s="31" t="n">
        <f aca="false">D41/C41</f>
        <v>0.0162953197865034</v>
      </c>
    </row>
    <row r="42" customFormat="false" ht="15" hidden="false" customHeight="true" outlineLevel="0" collapsed="false">
      <c r="A42" s="23" t="n">
        <v>41</v>
      </c>
      <c r="B42" s="24" t="n">
        <f aca="false">가정!$B$13*가정!$B$14^(A42-1)</f>
        <v>930.50970441364</v>
      </c>
      <c r="C42" s="24" t="n">
        <f aca="false">C41+B42</f>
        <v>8601.42390786064</v>
      </c>
      <c r="D42" s="24" t="n">
        <f aca="false">가정!$B$12+A42*가정!$B$15</f>
        <v>128</v>
      </c>
      <c r="E42" s="31" t="n">
        <f aca="false">D42/C42</f>
        <v>0.0148812570303649</v>
      </c>
    </row>
    <row r="43" customFormat="false" ht="15" hidden="false" customHeight="true" outlineLevel="0" collapsed="false">
      <c r="A43" s="23" t="n">
        <v>42</v>
      </c>
      <c r="B43" s="24" t="n">
        <f aca="false">가정!$B$13*가정!$B$14^(A43-1)</f>
        <v>1042.17086894328</v>
      </c>
      <c r="C43" s="24" t="n">
        <f aca="false">C42+B43</f>
        <v>9643.59477680392</v>
      </c>
      <c r="D43" s="24" t="n">
        <f aca="false">가정!$B$12+A43*가정!$B$15</f>
        <v>131</v>
      </c>
      <c r="E43" s="31" t="n">
        <f aca="false">D43/C43</f>
        <v>0.0135841460608755</v>
      </c>
    </row>
    <row r="44" customFormat="false" ht="15" hidden="false" customHeight="true" outlineLevel="0" collapsed="false">
      <c r="A44" s="23" t="n">
        <v>43</v>
      </c>
      <c r="B44" s="24" t="n">
        <f aca="false">가정!$B$13*가정!$B$14^(A44-1)</f>
        <v>1167.23137321647</v>
      </c>
      <c r="C44" s="24" t="n">
        <f aca="false">C43+B44</f>
        <v>10810.8261500204</v>
      </c>
      <c r="D44" s="24" t="n">
        <f aca="false">가정!$B$12+A44*가정!$B$15</f>
        <v>134</v>
      </c>
      <c r="E44" s="31" t="n">
        <f aca="false">D44/C44</f>
        <v>0.012394982413046</v>
      </c>
    </row>
    <row r="45" customFormat="false" ht="15" hidden="false" customHeight="true" outlineLevel="0" collapsed="false">
      <c r="A45" s="23" t="n">
        <v>44</v>
      </c>
      <c r="B45" s="24" t="n">
        <f aca="false">가정!$B$13*가정!$B$14^(A45-1)</f>
        <v>1307.29913800245</v>
      </c>
      <c r="C45" s="24" t="n">
        <f aca="false">C44+B45</f>
        <v>12118.1252880228</v>
      </c>
      <c r="D45" s="24" t="n">
        <f aca="false">가정!$B$12+A45*가정!$B$15</f>
        <v>137</v>
      </c>
      <c r="E45" s="31" t="n">
        <f aca="false">D45/C45</f>
        <v>0.0113053790700948</v>
      </c>
    </row>
    <row r="46" customFormat="false" ht="15" hidden="false" customHeight="true" outlineLevel="0" collapsed="false">
      <c r="A46" s="23" t="n">
        <v>45</v>
      </c>
      <c r="B46" s="24" t="n">
        <f aca="false">가정!$B$13*가정!$B$14^(A46-1)</f>
        <v>1464.17503456274</v>
      </c>
      <c r="C46" s="24" t="n">
        <f aca="false">C45+B46</f>
        <v>13582.3003225856</v>
      </c>
      <c r="D46" s="24" t="n">
        <f aca="false">가정!$B$12+A46*가정!$B$15</f>
        <v>140</v>
      </c>
      <c r="E46" s="31" t="n">
        <f aca="false">D46/C46</f>
        <v>0.0103075323527634</v>
      </c>
    </row>
    <row r="47" customFormat="false" ht="15" hidden="false" customHeight="true" outlineLevel="0" collapsed="false">
      <c r="A47" s="23" t="n">
        <v>46</v>
      </c>
      <c r="B47" s="24" t="n">
        <f aca="false">가정!$B$13*가정!$B$14^(A47-1)</f>
        <v>1639.87603871027</v>
      </c>
      <c r="C47" s="24" t="n">
        <f aca="false">C46+B47</f>
        <v>15222.1763612958</v>
      </c>
      <c r="D47" s="24" t="n">
        <f aca="false">가정!$B$12+A47*가정!$B$15</f>
        <v>143</v>
      </c>
      <c r="E47" s="31" t="n">
        <f aca="false">D47/C47</f>
        <v>0.00939418888639302</v>
      </c>
    </row>
    <row r="48" customFormat="false" ht="15" hidden="false" customHeight="true" outlineLevel="0" collapsed="false">
      <c r="A48" s="23" t="n">
        <v>47</v>
      </c>
      <c r="B48" s="24" t="n">
        <f aca="false">가정!$B$13*가정!$B$14^(A48-1)</f>
        <v>1836.6611633555</v>
      </c>
      <c r="C48" s="24" t="n">
        <f aca="false">C47+B48</f>
        <v>17058.8375246514</v>
      </c>
      <c r="D48" s="24" t="n">
        <f aca="false">가정!$B$12+A48*가정!$B$15</f>
        <v>146</v>
      </c>
      <c r="E48" s="31" t="n">
        <f aca="false">D48/C48</f>
        <v>0.00855861366807783</v>
      </c>
    </row>
    <row r="49" customFormat="false" ht="15" hidden="false" customHeight="true" outlineLevel="0" collapsed="false">
      <c r="A49" s="23" t="n">
        <v>48</v>
      </c>
      <c r="B49" s="24" t="n">
        <f aca="false">가정!$B$13*가정!$B$14^(A49-1)</f>
        <v>2057.06050295816</v>
      </c>
      <c r="C49" s="24" t="n">
        <f aca="false">C48+B49</f>
        <v>19115.8980276095</v>
      </c>
      <c r="D49" s="24" t="n">
        <f aca="false">가정!$B$12+A49*가정!$B$15</f>
        <v>149</v>
      </c>
      <c r="E49" s="31" t="n">
        <f aca="false">D49/C49</f>
        <v>0.00779455926082029</v>
      </c>
    </row>
    <row r="50" customFormat="false" ht="15" hidden="false" customHeight="true" outlineLevel="0" collapsed="false">
      <c r="A50" s="23" t="n">
        <v>49</v>
      </c>
      <c r="B50" s="24" t="n">
        <f aca="false">가정!$B$13*가정!$B$14^(A50-1)</f>
        <v>2303.90776331314</v>
      </c>
      <c r="C50" s="24" t="n">
        <f aca="false">C49+B50</f>
        <v>21419.8057909227</v>
      </c>
      <c r="D50" s="24" t="n">
        <f aca="false">가정!$B$12+A50*가정!$B$15</f>
        <v>152</v>
      </c>
      <c r="E50" s="31" t="n">
        <f aca="false">D50/C50</f>
        <v>0.00709623614161875</v>
      </c>
    </row>
    <row r="51" customFormat="false" ht="15" hidden="false" customHeight="true" outlineLevel="0" collapsed="false">
      <c r="A51" s="23" t="n">
        <v>50</v>
      </c>
      <c r="B51" s="24" t="n">
        <f aca="false">가정!$B$13*가정!$B$14^(A51-1)</f>
        <v>2580.37669491072</v>
      </c>
      <c r="C51" s="24" t="n">
        <f aca="false">C50+B51</f>
        <v>24000.1824858334</v>
      </c>
      <c r="D51" s="24" t="n">
        <f aca="false">가정!$B$12+A51*가정!$B$15</f>
        <v>155</v>
      </c>
      <c r="E51" s="31" t="n">
        <f aca="false">D51/C51</f>
        <v>0.00645828422727586</v>
      </c>
    </row>
    <row r="52" customFormat="false" ht="15" hidden="false" customHeight="true" outlineLevel="0" collapsed="false">
      <c r="A52" s="23" t="n">
        <v>51</v>
      </c>
      <c r="B52" s="24" t="n">
        <f aca="false">가정!$B$13*가정!$B$14^(A52-1)</f>
        <v>2890.02189830001</v>
      </c>
      <c r="C52" s="24" t="n">
        <f aca="false">C51+B52</f>
        <v>26890.2043841334</v>
      </c>
      <c r="D52" s="24" t="n">
        <f aca="false">가정!$B$12+A52*가정!$B$15</f>
        <v>158</v>
      </c>
      <c r="E52" s="31" t="n">
        <f aca="false">D52/C52</f>
        <v>0.00587574559653508</v>
      </c>
    </row>
    <row r="53" customFormat="false" ht="15" hidden="false" customHeight="true" outlineLevel="0" collapsed="false">
      <c r="A53" s="23" t="n">
        <v>52</v>
      </c>
      <c r="B53" s="24" t="n">
        <f aca="false">가정!$B$13*가정!$B$14^(A53-1)</f>
        <v>3236.82452609601</v>
      </c>
      <c r="C53" s="24" t="n">
        <f aca="false">C52+B53</f>
        <v>30127.0289102294</v>
      </c>
      <c r="D53" s="24" t="n">
        <f aca="false">가정!$B$12+A53*가정!$B$15</f>
        <v>161</v>
      </c>
      <c r="E53" s="31" t="n">
        <f aca="false">D53/C53</f>
        <v>0.00534403842077284</v>
      </c>
    </row>
    <row r="54" customFormat="false" ht="15" hidden="false" customHeight="true" outlineLevel="0" collapsed="false">
      <c r="A54" s="23" t="n">
        <v>53</v>
      </c>
      <c r="B54" s="24" t="n">
        <f aca="false">가정!$B$13*가정!$B$14^(A54-1)</f>
        <v>3625.24346922753</v>
      </c>
      <c r="C54" s="24" t="n">
        <f aca="false">C53+B54</f>
        <v>33752.2723794569</v>
      </c>
      <c r="D54" s="24" t="n">
        <f aca="false">가정!$B$12+A54*가정!$B$15</f>
        <v>164</v>
      </c>
      <c r="E54" s="31" t="n">
        <f aca="false">D54/C54</f>
        <v>0.00485893210851834</v>
      </c>
    </row>
    <row r="55" customFormat="false" ht="15" hidden="false" customHeight="true" outlineLevel="0" collapsed="false">
      <c r="A55" s="23" t="n">
        <v>54</v>
      </c>
      <c r="B55" s="24" t="n">
        <f aca="false">가정!$B$13*가정!$B$14^(A55-1)</f>
        <v>4060.27268553483</v>
      </c>
      <c r="C55" s="24" t="n">
        <f aca="false">C54+B55</f>
        <v>37812.5450649918</v>
      </c>
      <c r="D55" s="24" t="n">
        <f aca="false">가정!$B$12+A55*가정!$B$15</f>
        <v>167</v>
      </c>
      <c r="E55" s="31" t="n">
        <f aca="false">D55/C55</f>
        <v>0.0044165236620006</v>
      </c>
    </row>
    <row r="56" customFormat="false" ht="15" hidden="false" customHeight="true" outlineLevel="0" collapsed="false">
      <c r="A56" s="23" t="n">
        <v>55</v>
      </c>
      <c r="B56" s="24" t="n">
        <f aca="false">가정!$B$13*가정!$B$14^(A56-1)</f>
        <v>4547.50540779902</v>
      </c>
      <c r="C56" s="24" t="n">
        <f aca="false">C55+B56</f>
        <v>42360.0504727908</v>
      </c>
      <c r="D56" s="24" t="n">
        <f aca="false">가정!$B$12+A56*가정!$B$15</f>
        <v>170</v>
      </c>
      <c r="E56" s="31" t="n">
        <f aca="false">D56/C56</f>
        <v>0.00401321523705918</v>
      </c>
    </row>
    <row r="57" customFormat="false" ht="15" hidden="false" customHeight="true" outlineLevel="0" collapsed="false">
      <c r="A57" s="23" t="n">
        <v>56</v>
      </c>
      <c r="B57" s="24" t="n">
        <f aca="false">가정!$B$13*가정!$B$14^(A57-1)</f>
        <v>5093.2060567349</v>
      </c>
      <c r="C57" s="24" t="n">
        <f aca="false">C56+B57</f>
        <v>47453.2565295257</v>
      </c>
      <c r="D57" s="24" t="n">
        <f aca="false">가정!$B$12+A57*가정!$B$15</f>
        <v>173</v>
      </c>
      <c r="E57" s="31" t="n">
        <f aca="false">D57/C57</f>
        <v>0.00364569289132683</v>
      </c>
    </row>
    <row r="58" customFormat="false" ht="15" hidden="false" customHeight="true" outlineLevel="0" collapsed="false">
      <c r="A58" s="23" t="n">
        <v>57</v>
      </c>
      <c r="B58" s="24" t="n">
        <f aca="false">가정!$B$13*가정!$B$14^(A58-1)</f>
        <v>5704.39078354309</v>
      </c>
      <c r="C58" s="24" t="n">
        <f aca="false">C57+B58</f>
        <v>53157.6473130688</v>
      </c>
      <c r="D58" s="24" t="n">
        <f aca="false">가정!$B$12+A58*가정!$B$15</f>
        <v>176</v>
      </c>
      <c r="E58" s="31" t="n">
        <f aca="false">D58/C58</f>
        <v>0.00331090649974516</v>
      </c>
    </row>
    <row r="59" customFormat="false" ht="15" hidden="false" customHeight="true" outlineLevel="0" collapsed="false">
      <c r="A59" s="23" t="n">
        <v>58</v>
      </c>
      <c r="B59" s="24" t="n">
        <f aca="false">가정!$B$13*가정!$B$14^(A59-1)</f>
        <v>6388.91767756826</v>
      </c>
      <c r="C59" s="24" t="n">
        <f aca="false">C58+B59</f>
        <v>59546.564990637</v>
      </c>
      <c r="D59" s="24" t="n">
        <f aca="false">가정!$B$12+A59*가정!$B$15</f>
        <v>179</v>
      </c>
      <c r="E59" s="31" t="n">
        <f aca="false">D59/C59</f>
        <v>0.00300605081129609</v>
      </c>
    </row>
    <row r="60" customFormat="false" ht="15" hidden="false" customHeight="true" outlineLevel="0" collapsed="false">
      <c r="A60" s="23" t="n">
        <v>59</v>
      </c>
      <c r="B60" s="24" t="n">
        <f aca="false">가정!$B$13*가정!$B$14^(A60-1)</f>
        <v>7155.58779887645</v>
      </c>
      <c r="C60" s="24" t="n">
        <f aca="false">C59+B60</f>
        <v>66702.1527895135</v>
      </c>
      <c r="D60" s="24" t="n">
        <f aca="false">가정!$B$12+A60*가정!$B$15</f>
        <v>182</v>
      </c>
      <c r="E60" s="31" t="n">
        <f aca="false">D60/C60</f>
        <v>0.00272854761636139</v>
      </c>
    </row>
    <row r="61" customFormat="false" ht="15" hidden="false" customHeight="true" outlineLevel="0" collapsed="false">
      <c r="A61" s="23" t="n">
        <v>60</v>
      </c>
      <c r="B61" s="24" t="n">
        <f aca="false">가정!$B$13*가정!$B$14^(A61-1)</f>
        <v>8014.25833474162</v>
      </c>
      <c r="C61" s="24" t="n">
        <f aca="false">C60+B61</f>
        <v>74716.4111242551</v>
      </c>
      <c r="D61" s="24" t="n">
        <f aca="false">가정!$B$12+A61*가정!$B$15</f>
        <v>185</v>
      </c>
      <c r="E61" s="31" t="n">
        <f aca="false">D61/C61</f>
        <v>0.00247602899036921</v>
      </c>
    </row>
    <row r="62" customFormat="false" ht="15" hidden="false" customHeight="true" outlineLevel="0" collapsed="false">
      <c r="A62" s="23" t="n">
        <v>61</v>
      </c>
      <c r="B62" s="24" t="n">
        <f aca="false">가정!$B$13*가정!$B$14^(A62-1)</f>
        <v>8975.96933491062</v>
      </c>
      <c r="C62" s="24" t="n">
        <f aca="false">C61+B62</f>
        <v>83692.3804591657</v>
      </c>
      <c r="D62" s="24" t="n">
        <f aca="false">가정!$B$12+A62*가정!$B$15</f>
        <v>188</v>
      </c>
      <c r="E62" s="31" t="n">
        <f aca="false">D62/C62</f>
        <v>0.00224632157633187</v>
      </c>
    </row>
    <row r="63" customFormat="false" ht="15" hidden="false" customHeight="true" outlineLevel="0" collapsed="false">
      <c r="A63" s="23" t="n">
        <v>62</v>
      </c>
      <c r="B63" s="24" t="n">
        <f aca="false">가정!$B$13*가정!$B$14^(A63-1)</f>
        <v>10053.0856550999</v>
      </c>
      <c r="C63" s="24" t="n">
        <f aca="false">C62+B63</f>
        <v>93745.4661142656</v>
      </c>
      <c r="D63" s="24" t="n">
        <f aca="false">가정!$B$12+A63*가정!$B$15</f>
        <v>191</v>
      </c>
      <c r="E63" s="31" t="n">
        <f aca="false">D63/C63</f>
        <v>0.00203743186648826</v>
      </c>
    </row>
    <row r="64" customFormat="false" ht="15" hidden="false" customHeight="true" outlineLevel="0" collapsed="false">
      <c r="A64" s="23" t="n">
        <v>63</v>
      </c>
      <c r="B64" s="24" t="n">
        <f aca="false">가정!$B$13*가정!$B$14^(A64-1)</f>
        <v>11259.4559337119</v>
      </c>
      <c r="C64" s="24" t="n">
        <f aca="false">C63+B64</f>
        <v>105004.922047977</v>
      </c>
      <c r="D64" s="24" t="n">
        <f aca="false">가정!$B$12+A64*가정!$B$15</f>
        <v>194</v>
      </c>
      <c r="E64" s="31" t="n">
        <f aca="false">D64/C64</f>
        <v>0.00184753244149222</v>
      </c>
    </row>
    <row r="65" customFormat="false" ht="15" hidden="false" customHeight="true" outlineLevel="0" collapsed="false">
      <c r="A65" s="23" t="n">
        <v>64</v>
      </c>
      <c r="B65" s="24" t="n">
        <f aca="false">가정!$B$13*가정!$B$14^(A65-1)</f>
        <v>12610.5906457573</v>
      </c>
      <c r="C65" s="24" t="n">
        <f aca="false">C64+B65</f>
        <v>117615.512693735</v>
      </c>
      <c r="D65" s="24" t="n">
        <f aca="false">가정!$B$12+A65*가정!$B$15</f>
        <v>197</v>
      </c>
      <c r="E65" s="31" t="n">
        <f aca="false">D65/C65</f>
        <v>0.00167494912438106</v>
      </c>
    </row>
    <row r="66" customFormat="false" ht="15" hidden="false" customHeight="true" outlineLevel="0" collapsed="false">
      <c r="A66" s="23" t="n">
        <v>65</v>
      </c>
      <c r="B66" s="24" t="n">
        <f aca="false">가정!$B$13*가정!$B$14^(A66-1)</f>
        <v>14123.8615232482</v>
      </c>
      <c r="C66" s="24" t="n">
        <f aca="false">C65+B66</f>
        <v>131739.374216983</v>
      </c>
      <c r="D66" s="24" t="n">
        <f aca="false">가정!$B$12+A66*가정!$B$15</f>
        <v>200</v>
      </c>
      <c r="E66" s="31" t="n">
        <f aca="false">D66/C66</f>
        <v>0.001518149005859</v>
      </c>
    </row>
    <row r="67" customFormat="false" ht="15" hidden="false" customHeight="true" outlineLevel="0" collapsed="false">
      <c r="A67" s="23" t="n">
        <v>66</v>
      </c>
      <c r="B67" s="24" t="n">
        <f aca="false">가정!$B$13*가정!$B$14^(A67-1)</f>
        <v>15818.724906038</v>
      </c>
      <c r="C67" s="24" t="n">
        <f aca="false">C66+B67</f>
        <v>147558.099123021</v>
      </c>
      <c r="D67" s="24" t="n">
        <f aca="false">가정!$B$12+A67*가정!$B$15</f>
        <v>203</v>
      </c>
      <c r="E67" s="31" t="n">
        <f aca="false">D67/C67</f>
        <v>0.00137572929718183</v>
      </c>
    </row>
    <row r="68" customFormat="false" ht="15" hidden="false" customHeight="true" outlineLevel="0" collapsed="false">
      <c r="A68" s="23" t="n">
        <v>67</v>
      </c>
      <c r="B68" s="24" t="n">
        <f aca="false">가정!$B$13*가정!$B$14^(A68-1)</f>
        <v>17716.9718947625</v>
      </c>
      <c r="C68" s="24" t="n">
        <f aca="false">C67+B68</f>
        <v>165275.071017783</v>
      </c>
      <c r="D68" s="24" t="n">
        <f aca="false">가정!$B$12+A68*가정!$B$15</f>
        <v>206</v>
      </c>
      <c r="E68" s="31" t="n">
        <f aca="false">D68/C68</f>
        <v>0.0012464069670727</v>
      </c>
    </row>
    <row r="69" customFormat="false" ht="15" hidden="false" customHeight="true" outlineLevel="0" collapsed="false">
      <c r="A69" s="23" t="n">
        <v>68</v>
      </c>
      <c r="B69" s="24" t="n">
        <f aca="false">가정!$B$13*가정!$B$14^(A69-1)</f>
        <v>19843.008522134</v>
      </c>
      <c r="C69" s="24" t="n">
        <f aca="false">C68+B69</f>
        <v>185118.079539918</v>
      </c>
      <c r="D69" s="24" t="n">
        <f aca="false">가정!$B$12+A69*가정!$B$15</f>
        <v>209</v>
      </c>
      <c r="E69" s="31" t="n">
        <f aca="false">D69/C69</f>
        <v>0.00112900911958161</v>
      </c>
    </row>
    <row r="70" customFormat="false" ht="15" hidden="false" customHeight="true" outlineLevel="0" collapsed="false">
      <c r="A70" s="23" t="n">
        <v>69</v>
      </c>
      <c r="B70" s="24" t="n">
        <f aca="false">가정!$B$13*가정!$B$14^(A70-1)</f>
        <v>22224.1695447901</v>
      </c>
      <c r="C70" s="24" t="n">
        <f aca="false">C69+B70</f>
        <v>207342.249084708</v>
      </c>
      <c r="D70" s="24" t="n">
        <f aca="false">가정!$B$12+A70*가정!$B$15</f>
        <v>212</v>
      </c>
      <c r="E70" s="31" t="n">
        <f aca="false">D70/C70</f>
        <v>0.00102246407056861</v>
      </c>
    </row>
    <row r="71" customFormat="false" ht="15" hidden="false" customHeight="true" outlineLevel="0" collapsed="false">
      <c r="A71" s="23" t="n">
        <v>70</v>
      </c>
      <c r="B71" s="24" t="n">
        <f aca="false">가정!$B$13*가정!$B$14^(A71-1)</f>
        <v>24891.0698901649</v>
      </c>
      <c r="C71" s="24" t="n">
        <f aca="false">C70+B71</f>
        <v>232233.318974873</v>
      </c>
      <c r="D71" s="24" t="n">
        <f aca="false">가정!$B$12+A71*가정!$B$15</f>
        <v>215</v>
      </c>
      <c r="E71" s="31" t="n">
        <f aca="false">D71/C71</f>
        <v>0.000925793081496901</v>
      </c>
    </row>
    <row r="72" customFormat="false" ht="15" hidden="false" customHeight="true" outlineLevel="0" collapsed="false">
      <c r="A72" s="23" t="n">
        <v>71</v>
      </c>
      <c r="B72" s="24" t="n">
        <f aca="false">가정!$B$13*가정!$B$14^(A72-1)</f>
        <v>27877.9982769847</v>
      </c>
      <c r="C72" s="24" t="n">
        <f aca="false">C71+B72</f>
        <v>260111.317251857</v>
      </c>
      <c r="D72" s="24" t="n">
        <f aca="false">가정!$B$12+A72*가정!$B$15</f>
        <v>218</v>
      </c>
      <c r="E72" s="31" t="n">
        <f aca="false">D72/C72</f>
        <v>0.000838102710421161</v>
      </c>
    </row>
    <row r="73" customFormat="false" ht="15" hidden="false" customHeight="true" outlineLevel="0" collapsed="false">
      <c r="A73" s="23" t="n">
        <v>72</v>
      </c>
      <c r="B73" s="24" t="n">
        <f aca="false">가정!$B$13*가정!$B$14^(A73-1)</f>
        <v>31223.3580702229</v>
      </c>
      <c r="C73" s="24" t="n">
        <f aca="false">C72+B73</f>
        <v>291334.67532208</v>
      </c>
      <c r="D73" s="24" t="n">
        <f aca="false">가정!$B$12+A73*가정!$B$15</f>
        <v>221</v>
      </c>
      <c r="E73" s="31" t="n">
        <f aca="false">D73/C73</f>
        <v>0.000758577741409179</v>
      </c>
    </row>
    <row r="74" customFormat="false" ht="15" hidden="false" customHeight="true" outlineLevel="0" collapsed="false">
      <c r="A74" s="23" t="n">
        <v>73</v>
      </c>
      <c r="B74" s="24" t="n">
        <f aca="false">가정!$B$13*가정!$B$14^(A74-1)</f>
        <v>34970.1610386497</v>
      </c>
      <c r="C74" s="24" t="n">
        <f aca="false">C73+B74</f>
        <v>326304.83636073</v>
      </c>
      <c r="D74" s="24" t="n">
        <f aca="false">가정!$B$12+A74*가정!$B$15</f>
        <v>224</v>
      </c>
      <c r="E74" s="31" t="n">
        <f aca="false">D74/C74</f>
        <v>0.000686474655105535</v>
      </c>
    </row>
    <row r="75" customFormat="false" ht="15" hidden="false" customHeight="true" outlineLevel="0" collapsed="false">
      <c r="A75" s="23" t="n">
        <v>74</v>
      </c>
      <c r="B75" s="24" t="n">
        <f aca="false">가정!$B$13*가정!$B$14^(A75-1)</f>
        <v>39166.5803632876</v>
      </c>
      <c r="C75" s="24" t="n">
        <f aca="false">C74+B75</f>
        <v>365471.416724018</v>
      </c>
      <c r="D75" s="24" t="n">
        <f aca="false">가정!$B$12+A75*가정!$B$15</f>
        <v>227</v>
      </c>
      <c r="E75" s="31" t="n">
        <f aca="false">D75/C75</f>
        <v>0.000621115604702452</v>
      </c>
    </row>
    <row r="76" customFormat="false" ht="15" hidden="false" customHeight="true" outlineLevel="0" collapsed="false">
      <c r="A76" s="23" t="n">
        <v>75</v>
      </c>
      <c r="B76" s="24" t="n">
        <f aca="false">가정!$B$13*가정!$B$14^(A76-1)</f>
        <v>43866.5700068821</v>
      </c>
      <c r="C76" s="24" t="n">
        <f aca="false">C75+B76</f>
        <v>409337.9867309</v>
      </c>
      <c r="D76" s="24" t="n">
        <f aca="false">가정!$B$12+A76*가정!$B$15</f>
        <v>230</v>
      </c>
      <c r="E76" s="31" t="n">
        <f aca="false">D76/C76</f>
        <v>0.000561882863197847</v>
      </c>
    </row>
    <row r="77" customFormat="false" ht="15" hidden="false" customHeight="true" outlineLevel="0" collapsed="false">
      <c r="A77" s="23" t="n">
        <v>76</v>
      </c>
      <c r="B77" s="24" t="n">
        <f aca="false">가정!$B$13*가정!$B$14^(A77-1)</f>
        <v>49130.558407708</v>
      </c>
      <c r="C77" s="24" t="n">
        <f aca="false">C76+B77</f>
        <v>458468.545138608</v>
      </c>
      <c r="D77" s="24" t="n">
        <f aca="false">가정!$B$12+A77*가정!$B$15</f>
        <v>233</v>
      </c>
      <c r="E77" s="31" t="n">
        <f aca="false">D77/C77</f>
        <v>0.000508213709469551</v>
      </c>
    </row>
    <row r="78" customFormat="false" ht="15" hidden="false" customHeight="true" outlineLevel="0" collapsed="false">
      <c r="A78" s="23" t="n">
        <v>77</v>
      </c>
      <c r="B78" s="24" t="n">
        <f aca="false">가정!$B$13*가정!$B$14^(A78-1)</f>
        <v>55026.225416633</v>
      </c>
      <c r="C78" s="24" t="n">
        <f aca="false">C77+B78</f>
        <v>513494.770555241</v>
      </c>
      <c r="D78" s="24" t="n">
        <f aca="false">가정!$B$12+A78*가정!$B$15</f>
        <v>236</v>
      </c>
      <c r="E78" s="31" t="n">
        <f aca="false">D78/C78</f>
        <v>0.000459595722357238</v>
      </c>
    </row>
    <row r="79" customFormat="false" ht="15" hidden="false" customHeight="true" outlineLevel="0" collapsed="false">
      <c r="A79" s="23" t="n">
        <v>78</v>
      </c>
      <c r="B79" s="24" t="n">
        <f aca="false">가정!$B$13*가정!$B$14^(A79-1)</f>
        <v>61629.3724666289</v>
      </c>
      <c r="C79" s="24" t="n">
        <f aca="false">C78+B79</f>
        <v>575124.14302187</v>
      </c>
      <c r="D79" s="24" t="n">
        <f aca="false">가정!$B$12+A79*가정!$B$15</f>
        <v>239</v>
      </c>
      <c r="E79" s="31" t="n">
        <f aca="false">D79/C79</f>
        <v>0.000415562453602147</v>
      </c>
    </row>
    <row r="80" customFormat="false" ht="15" hidden="false" customHeight="true" outlineLevel="0" collapsed="false">
      <c r="A80" s="23" t="n">
        <v>79</v>
      </c>
      <c r="B80" s="24" t="n">
        <f aca="false">가정!$B$13*가정!$B$14^(A80-1)</f>
        <v>69024.8971626244</v>
      </c>
      <c r="C80" s="24" t="n">
        <f aca="false">C79+B80</f>
        <v>644149.040184494</v>
      </c>
      <c r="D80" s="24" t="n">
        <f aca="false">가정!$B$12+A80*가정!$B$15</f>
        <v>242</v>
      </c>
      <c r="E80" s="31" t="n">
        <f aca="false">D80/C80</f>
        <v>0.000375689452134692</v>
      </c>
    </row>
    <row r="81" customFormat="false" ht="15" hidden="false" customHeight="true" outlineLevel="0" collapsed="false">
      <c r="A81" s="23" t="n">
        <v>80</v>
      </c>
      <c r="B81" s="24" t="n">
        <f aca="false">가정!$B$13*가정!$B$14^(A81-1)</f>
        <v>77307.8848221393</v>
      </c>
      <c r="C81" s="24" t="n">
        <f aca="false">C80+B81</f>
        <v>721456.925006633</v>
      </c>
      <c r="D81" s="24" t="n">
        <f aca="false">가정!$B$12+A81*가정!$B$15</f>
        <v>245</v>
      </c>
      <c r="E81" s="31" t="n">
        <f aca="false">D81/C81</f>
        <v>0.000339590613809338</v>
      </c>
    </row>
    <row r="82" customFormat="false" ht="15" hidden="false" customHeight="true" outlineLevel="0" collapsed="false">
      <c r="A82" s="23" t="n">
        <v>81</v>
      </c>
      <c r="B82" s="24" t="n">
        <f aca="false">가정!$B$13*가정!$B$14^(A82-1)</f>
        <v>86584.8310007961</v>
      </c>
      <c r="C82" s="24" t="n">
        <f aca="false">C81+B82</f>
        <v>808041.756007429</v>
      </c>
      <c r="D82" s="24" t="n">
        <f aca="false">가정!$B$12+A82*가정!$B$15</f>
        <v>248</v>
      </c>
      <c r="E82" s="31" t="n">
        <f aca="false">D82/C82</f>
        <v>0.000306914832254931</v>
      </c>
    </row>
    <row r="83" customFormat="false" ht="15" hidden="false" customHeight="true" outlineLevel="0" collapsed="false">
      <c r="A83" s="23" t="n">
        <v>82</v>
      </c>
      <c r="B83" s="24" t="n">
        <f aca="false">가정!$B$13*가정!$B$14^(A83-1)</f>
        <v>96975.0107208916</v>
      </c>
      <c r="C83" s="24" t="n">
        <f aca="false">C82+B83</f>
        <v>905016.766728321</v>
      </c>
      <c r="D83" s="24" t="n">
        <f aca="false">가정!$B$12+A83*가정!$B$15</f>
        <v>251</v>
      </c>
      <c r="E83" s="31" t="n">
        <f aca="false">D83/C83</f>
        <v>0.000277342928029253</v>
      </c>
    </row>
    <row r="84" customFormat="false" ht="15" hidden="false" customHeight="true" outlineLevel="0" collapsed="false">
      <c r="A84" s="23" t="n">
        <v>83</v>
      </c>
      <c r="B84" s="24" t="n">
        <f aca="false">가정!$B$13*가정!$B$14^(A84-1)</f>
        <v>108612.012007399</v>
      </c>
      <c r="C84" s="24" t="n">
        <f aca="false">C83+B84</f>
        <v>1013628.77873572</v>
      </c>
      <c r="D84" s="24" t="n">
        <f aca="false">가정!$B$12+A84*가정!$B$15</f>
        <v>254</v>
      </c>
      <c r="E84" s="31" t="n">
        <f aca="false">D84/C84</f>
        <v>0.000250584834732899</v>
      </c>
    </row>
    <row r="85" customFormat="false" ht="15" hidden="false" customHeight="true" outlineLevel="0" collapsed="false">
      <c r="A85" s="23" t="n">
        <v>84</v>
      </c>
      <c r="B85" s="24" t="n">
        <f aca="false">가정!$B$13*가정!$B$14^(A85-1)</f>
        <v>121645.453448286</v>
      </c>
      <c r="C85" s="24" t="n">
        <f aca="false">C84+B85</f>
        <v>1135274.23218401</v>
      </c>
      <c r="D85" s="24" t="n">
        <f aca="false">가정!$B$12+A85*가정!$B$15</f>
        <v>257</v>
      </c>
      <c r="E85" s="31" t="n">
        <f aca="false">D85/C85</f>
        <v>0.000226377022145206</v>
      </c>
    </row>
    <row r="86" customFormat="false" ht="15" hidden="false" customHeight="true" outlineLevel="0" collapsed="false">
      <c r="A86" s="23" t="n">
        <v>85</v>
      </c>
      <c r="B86" s="24" t="n">
        <f aca="false">가정!$B$13*가정!$B$14^(A86-1)</f>
        <v>136242.907862081</v>
      </c>
      <c r="C86" s="24" t="n">
        <f aca="false">C85+B86</f>
        <v>1271517.14004609</v>
      </c>
      <c r="D86" s="24" t="n">
        <f aca="false">가정!$B$12+A86*가정!$B$15</f>
        <v>260</v>
      </c>
      <c r="E86" s="31" t="n">
        <f aca="false">D86/C86</f>
        <v>0.00020448013779081</v>
      </c>
    </row>
    <row r="87" customFormat="false" ht="15" hidden="false" customHeight="true" outlineLevel="0" collapsed="false">
      <c r="A87" s="23" t="n">
        <v>86</v>
      </c>
      <c r="B87" s="24" t="n">
        <f aca="false">가정!$B$13*가정!$B$14^(A87-1)</f>
        <v>152592.056805531</v>
      </c>
      <c r="C87" s="24" t="n">
        <f aca="false">C86+B87</f>
        <v>1424109.19685162</v>
      </c>
      <c r="D87" s="24" t="n">
        <f aca="false">가정!$B$12+A87*가정!$B$15</f>
        <v>263</v>
      </c>
      <c r="E87" s="31" t="n">
        <f aca="false">D87/C87</f>
        <v>0.000184676849627426</v>
      </c>
    </row>
    <row r="88" customFormat="false" ht="15" hidden="false" customHeight="true" outlineLevel="0" collapsed="false">
      <c r="A88" s="23" t="n">
        <v>87</v>
      </c>
      <c r="B88" s="24" t="n">
        <f aca="false">가정!$B$13*가정!$B$14^(A88-1)</f>
        <v>170903.103622194</v>
      </c>
      <c r="C88" s="24" t="n">
        <f aca="false">C87+B88</f>
        <v>1595012.30047381</v>
      </c>
      <c r="D88" s="24" t="n">
        <f aca="false">가정!$B$12+A88*가정!$B$15</f>
        <v>266</v>
      </c>
      <c r="E88" s="31" t="n">
        <f aca="false">D88/C88</f>
        <v>0.000166769873762718</v>
      </c>
    </row>
    <row r="89" customFormat="false" ht="15" hidden="false" customHeight="true" outlineLevel="0" collapsed="false">
      <c r="A89" s="23" t="n">
        <v>88</v>
      </c>
      <c r="B89" s="24" t="n">
        <f aca="false">가정!$B$13*가정!$B$14^(A89-1)</f>
        <v>191411.476056858</v>
      </c>
      <c r="C89" s="24" t="n">
        <f aca="false">C88+B89</f>
        <v>1786423.77653067</v>
      </c>
      <c r="D89" s="24" t="n">
        <f aca="false">가정!$B$12+A89*가정!$B$15</f>
        <v>269</v>
      </c>
      <c r="E89" s="31" t="n">
        <f aca="false">D89/C89</f>
        <v>0.000150580172260365</v>
      </c>
    </row>
    <row r="90" customFormat="false" ht="15" hidden="false" customHeight="true" outlineLevel="0" collapsed="false">
      <c r="A90" s="23" t="n">
        <v>89</v>
      </c>
      <c r="B90" s="24" t="n">
        <f aca="false">가정!$B$13*가정!$B$14^(A90-1)</f>
        <v>214380.85318368</v>
      </c>
      <c r="C90" s="24" t="n">
        <f aca="false">C89+B90</f>
        <v>2000804.62971435</v>
      </c>
      <c r="D90" s="24" t="n">
        <f aca="false">가정!$B$12+A90*가정!$B$15</f>
        <v>272</v>
      </c>
      <c r="E90" s="31" t="n">
        <f aca="false">D90/C90</f>
        <v>0.000135945307183157</v>
      </c>
    </row>
    <row r="91" customFormat="false" ht="15" hidden="false" customHeight="true" outlineLevel="0" collapsed="false">
      <c r="A91" s="23" t="n">
        <v>90</v>
      </c>
      <c r="B91" s="24" t="n">
        <f aca="false">가정!$B$13*가정!$B$14^(A91-1)</f>
        <v>240106.555565722</v>
      </c>
      <c r="C91" s="24" t="n">
        <f aca="false">C90+B91</f>
        <v>2240911.18528007</v>
      </c>
      <c r="D91" s="24" t="n">
        <f aca="false">가정!$B$12+A91*가정!$B$15</f>
        <v>275</v>
      </c>
      <c r="E91" s="31" t="n">
        <f aca="false">D91/C91</f>
        <v>0.000122717938045202</v>
      </c>
    </row>
    <row r="92" customFormat="false" ht="15" hidden="false" customHeight="true" outlineLevel="0" collapsed="false">
      <c r="A92" s="23" t="n">
        <v>91</v>
      </c>
      <c r="B92" s="24" t="n">
        <f aca="false">가정!$B$13*가정!$B$14^(A92-1)</f>
        <v>268919.342233609</v>
      </c>
      <c r="C92" s="24" t="n">
        <f aca="false">C91+B92</f>
        <v>2509830.52751368</v>
      </c>
      <c r="D92" s="24" t="n">
        <f aca="false">가정!$B$12+A92*가정!$B$15</f>
        <v>278</v>
      </c>
      <c r="E92" s="31" t="n">
        <f aca="false">D92/C92</f>
        <v>0.00011076445080752</v>
      </c>
    </row>
    <row r="93" customFormat="false" ht="15" hidden="false" customHeight="true" outlineLevel="0" collapsed="false">
      <c r="A93" s="23" t="n">
        <v>92</v>
      </c>
      <c r="B93" s="24" t="n">
        <f aca="false">가정!$B$13*가정!$B$14^(A93-1)</f>
        <v>301189.663301642</v>
      </c>
      <c r="C93" s="24" t="n">
        <f aca="false">C92+B93</f>
        <v>2811020.19081532</v>
      </c>
      <c r="D93" s="24" t="n">
        <f aca="false">가정!$B$12+A93*가정!$B$15</f>
        <v>281</v>
      </c>
      <c r="E93" s="31" t="n">
        <f aca="false">D93/C93</f>
        <v>9.99637074533062E-005</v>
      </c>
    </row>
    <row r="94" customFormat="false" ht="15" hidden="false" customHeight="true" outlineLevel="0" collapsed="false">
      <c r="A94" s="23" t="n">
        <v>93</v>
      </c>
      <c r="B94" s="24" t="n">
        <f aca="false">가정!$B$13*가정!$B$14^(A94-1)</f>
        <v>337332.422897839</v>
      </c>
      <c r="C94" s="24" t="n">
        <f aca="false">C93+B94</f>
        <v>3148352.61371316</v>
      </c>
      <c r="D94" s="24" t="n">
        <f aca="false">가정!$B$12+A94*가정!$B$15</f>
        <v>284</v>
      </c>
      <c r="E94" s="31" t="n">
        <f aca="false">D94/C94</f>
        <v>9.02059060230394E-005</v>
      </c>
    </row>
    <row r="95" customFormat="false" ht="15" hidden="false" customHeight="true" outlineLevel="0" collapsed="false">
      <c r="A95" s="23" t="n">
        <v>94</v>
      </c>
      <c r="B95" s="24" t="n">
        <f aca="false">가정!$B$13*가정!$B$14^(A95-1)</f>
        <v>377812.31364558</v>
      </c>
      <c r="C95" s="24" t="n">
        <f aca="false">C94+B95</f>
        <v>3526164.92735874</v>
      </c>
      <c r="D95" s="24" t="n">
        <f aca="false">가정!$B$12+A95*가정!$B$15</f>
        <v>287</v>
      </c>
      <c r="E95" s="31" t="n">
        <f aca="false">D95/C95</f>
        <v>8.13915417776491E-005</v>
      </c>
    </row>
    <row r="96" customFormat="false" ht="15" hidden="false" customHeight="true" outlineLevel="0" collapsed="false">
      <c r="A96" s="23" t="n">
        <v>95</v>
      </c>
      <c r="B96" s="24" t="n">
        <f aca="false">가정!$B$13*가정!$B$14^(A96-1)</f>
        <v>423149.791283049</v>
      </c>
      <c r="C96" s="24" t="n">
        <f aca="false">C95+B96</f>
        <v>3949314.71864179</v>
      </c>
      <c r="D96" s="24" t="n">
        <f aca="false">가정!$B$12+A96*가정!$B$15</f>
        <v>290</v>
      </c>
      <c r="E96" s="31" t="n">
        <f aca="false">D96/C96</f>
        <v>7.34304608926518E-005</v>
      </c>
    </row>
    <row r="97" customFormat="false" ht="15" hidden="false" customHeight="true" outlineLevel="0" collapsed="false">
      <c r="A97" s="23" t="n">
        <v>96</v>
      </c>
      <c r="B97" s="24" t="n">
        <f aca="false">가정!$B$13*가정!$B$14^(A97-1)</f>
        <v>473927.766237015</v>
      </c>
      <c r="C97" s="24" t="n">
        <f aca="false">C96+B97</f>
        <v>4423242.48487881</v>
      </c>
      <c r="D97" s="24" t="n">
        <f aca="false">가정!$B$12+A97*가정!$B$15</f>
        <v>293</v>
      </c>
      <c r="E97" s="31" t="n">
        <f aca="false">D97/C97</f>
        <v>6.62409987699393E-005</v>
      </c>
    </row>
    <row r="98" customFormat="false" ht="15" hidden="false" customHeight="true" outlineLevel="0" collapsed="false">
      <c r="A98" s="23" t="n">
        <v>97</v>
      </c>
      <c r="B98" s="24" t="n">
        <f aca="false">가정!$B$13*가정!$B$14^(A98-1)</f>
        <v>530799.098185457</v>
      </c>
      <c r="C98" s="24" t="n">
        <f aca="false">C97+B98</f>
        <v>4954041.58306426</v>
      </c>
      <c r="D98" s="24" t="n">
        <f aca="false">가정!$B$12+A98*가정!$B$15</f>
        <v>296</v>
      </c>
      <c r="E98" s="31" t="n">
        <f aca="false">D98/C98</f>
        <v>5.97491956894138E-005</v>
      </c>
    </row>
    <row r="99" customFormat="false" ht="15" hidden="false" customHeight="true" outlineLevel="0" collapsed="false">
      <c r="A99" s="23" t="n">
        <v>98</v>
      </c>
      <c r="B99" s="24" t="n">
        <f aca="false">가정!$B$13*가정!$B$14^(A99-1)</f>
        <v>594494.989967712</v>
      </c>
      <c r="C99" s="24" t="n">
        <f aca="false">C98+B99</f>
        <v>5548536.57303198</v>
      </c>
      <c r="D99" s="24" t="n">
        <f aca="false">가정!$B$12+A99*가정!$B$15</f>
        <v>299</v>
      </c>
      <c r="E99" s="31" t="n">
        <f aca="false">D99/C99</f>
        <v>5.38880831124472E-005</v>
      </c>
    </row>
    <row r="100" customFormat="false" ht="15" hidden="false" customHeight="true" outlineLevel="0" collapsed="false">
      <c r="A100" s="23" t="n">
        <v>99</v>
      </c>
      <c r="B100" s="24" t="n">
        <f aca="false">가정!$B$13*가정!$B$14^(A100-1)</f>
        <v>665834.388763838</v>
      </c>
      <c r="C100" s="24" t="n">
        <f aca="false">C99+B100</f>
        <v>6214370.96179581</v>
      </c>
      <c r="D100" s="24" t="n">
        <f aca="false">가정!$B$12+A100*가정!$B$15</f>
        <v>302</v>
      </c>
      <c r="E100" s="31" t="n">
        <f aca="false">D100/C100</f>
        <v>4.85970344957857E-005</v>
      </c>
    </row>
    <row r="101" customFormat="false" ht="15" hidden="false" customHeight="true" outlineLevel="0" collapsed="false">
      <c r="A101" s="23" t="n">
        <v>100</v>
      </c>
      <c r="B101" s="24" t="n">
        <f aca="false">가정!$B$13*가정!$B$14^(A101-1)</f>
        <v>745734.515415498</v>
      </c>
      <c r="C101" s="24" t="n">
        <f aca="false">C100+B101</f>
        <v>6960105.47721131</v>
      </c>
      <c r="D101" s="24" t="n">
        <f aca="false">가정!$B$12+A101*가정!$B$15</f>
        <v>305</v>
      </c>
      <c r="E101" s="31" t="n">
        <f aca="false">D101/C101</f>
        <v>4.38211749805556E-005</v>
      </c>
    </row>
    <row r="103" customFormat="false" ht="15" hidden="false" customHeight="true" outlineLevel="0" collapsed="false">
      <c r="A103" s="3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12"/>
  </cols>
  <sheetData>
    <row r="1" customFormat="false" ht="19.5" hidden="false" customHeight="true" outlineLevel="0" collapsed="false">
      <c r="A1" s="2" t="s">
        <v>91</v>
      </c>
    </row>
    <row r="2" customFormat="false" ht="15" hidden="false" customHeight="true" outlineLevel="0" collapsed="false">
      <c r="A2" s="3" t="s">
        <v>92</v>
      </c>
    </row>
    <row r="4" customFormat="false" ht="15" hidden="false" customHeight="true" outlineLevel="0" collapsed="false">
      <c r="A4" s="4" t="s">
        <v>93</v>
      </c>
      <c r="B4" s="5"/>
      <c r="C4" s="5"/>
    </row>
    <row r="5" customFormat="false" ht="15" hidden="false" customHeight="true" outlineLevel="0" collapsed="false">
      <c r="A5" s="6" t="s">
        <v>94</v>
      </c>
      <c r="B5" s="7" t="n">
        <v>6</v>
      </c>
      <c r="C5" s="14" t="s">
        <v>95</v>
      </c>
    </row>
    <row r="6" customFormat="false" ht="15" hidden="false" customHeight="true" outlineLevel="0" collapsed="false">
      <c r="A6" s="6" t="s">
        <v>96</v>
      </c>
      <c r="B6" s="13" t="n">
        <v>1.2</v>
      </c>
      <c r="C6" s="8" t="s">
        <v>97</v>
      </c>
    </row>
    <row r="7" customFormat="false" ht="15" hidden="false" customHeight="true" outlineLevel="0" collapsed="false">
      <c r="A7" s="6" t="s">
        <v>98</v>
      </c>
      <c r="B7" s="33" t="n">
        <v>18</v>
      </c>
      <c r="C7" s="8" t="s">
        <v>99</v>
      </c>
    </row>
    <row r="8" customFormat="false" ht="15" hidden="false" customHeight="true" outlineLevel="0" collapsed="false">
      <c r="A8" s="6" t="s">
        <v>100</v>
      </c>
      <c r="B8" s="13" t="n">
        <v>0.3</v>
      </c>
      <c r="C8" s="8" t="s">
        <v>101</v>
      </c>
    </row>
    <row r="9" customFormat="false" ht="15" hidden="false" customHeight="true" outlineLevel="0" collapsed="false">
      <c r="A9" s="6" t="s">
        <v>102</v>
      </c>
      <c r="B9" s="33" t="n">
        <v>9</v>
      </c>
      <c r="C9" s="8" t="s">
        <v>103</v>
      </c>
    </row>
    <row r="11" customFormat="false" ht="15" hidden="false" customHeight="true" outlineLevel="0" collapsed="false">
      <c r="A11" s="4" t="s">
        <v>104</v>
      </c>
      <c r="B11" s="5"/>
      <c r="C11" s="5"/>
    </row>
    <row r="12" customFormat="false" ht="15" hidden="false" customHeight="true" outlineLevel="0" collapsed="false">
      <c r="A12" s="11" t="s">
        <v>105</v>
      </c>
      <c r="B12" s="34" t="n">
        <f aca="false">B5*B6</f>
        <v>7.2</v>
      </c>
      <c r="C12" s="8"/>
    </row>
    <row r="13" customFormat="false" ht="15" hidden="false" customHeight="true" outlineLevel="0" collapsed="false">
      <c r="A13" s="11" t="s">
        <v>106</v>
      </c>
      <c r="B13" s="34" t="n">
        <f aca="false">B5*B8</f>
        <v>1.8</v>
      </c>
      <c r="C13" s="8"/>
    </row>
    <row r="14" customFormat="false" ht="15" hidden="false" customHeight="true" outlineLevel="0" collapsed="false">
      <c r="A14" s="11" t="s">
        <v>107</v>
      </c>
      <c r="B14" s="35" t="n">
        <f aca="false">B12*B7/1000+B13*B9/1000</f>
        <v>0.1458</v>
      </c>
      <c r="C14" s="8" t="s">
        <v>108</v>
      </c>
    </row>
    <row r="16" customFormat="false" ht="15" hidden="false" customHeight="true" outlineLevel="0" collapsed="false">
      <c r="A16" s="4" t="s">
        <v>109</v>
      </c>
      <c r="B16" s="5"/>
      <c r="C16" s="5"/>
    </row>
    <row r="17" customFormat="false" ht="15" hidden="false" customHeight="true" outlineLevel="0" collapsed="false">
      <c r="A17" s="6" t="s">
        <v>110</v>
      </c>
      <c r="B17" s="36" t="n">
        <v>0.018</v>
      </c>
      <c r="C17" s="8" t="s">
        <v>111</v>
      </c>
    </row>
    <row r="18" customFormat="false" ht="15" hidden="false" customHeight="true" outlineLevel="0" collapsed="false">
      <c r="A18" s="37" t="s">
        <v>112</v>
      </c>
      <c r="B18" s="33" t="n">
        <v>12.5</v>
      </c>
      <c r="C18" s="8" t="s">
        <v>113</v>
      </c>
    </row>
    <row r="19" customFormat="false" ht="15" hidden="false" customHeight="true" outlineLevel="0" collapsed="false">
      <c r="A19" s="38" t="s">
        <v>114</v>
      </c>
      <c r="B19" s="35" t="n">
        <f aca="false">B17*B18</f>
        <v>0.225</v>
      </c>
      <c r="C19" s="8"/>
    </row>
    <row r="21" customFormat="false" ht="15" hidden="false" customHeight="true" outlineLevel="0" collapsed="false">
      <c r="A21" s="4" t="s">
        <v>115</v>
      </c>
      <c r="B21" s="5"/>
      <c r="C21" s="5"/>
    </row>
    <row r="22" customFormat="false" ht="15" hidden="false" customHeight="true" outlineLevel="0" collapsed="false">
      <c r="A22" s="11" t="s">
        <v>116</v>
      </c>
      <c r="B22" s="35" t="n">
        <f aca="false">B14+B19</f>
        <v>0.3708</v>
      </c>
      <c r="C22" s="8"/>
    </row>
    <row r="23" customFormat="false" ht="15" hidden="false" customHeight="true" outlineLevel="0" collapsed="false">
      <c r="A23" s="38" t="s">
        <v>117</v>
      </c>
      <c r="B23" s="39" t="n">
        <f aca="false">IFERROR(B19/B22,0)</f>
        <v>0.606796116504854</v>
      </c>
      <c r="C23" s="8" t="s">
        <v>118</v>
      </c>
    </row>
    <row r="24" customFormat="false" ht="15" hidden="false" customHeight="true" outlineLevel="0" collapsed="false">
      <c r="A24" s="11" t="s">
        <v>119</v>
      </c>
      <c r="B24" s="39" t="n">
        <f aca="false">IFERROR(B14/B22,0)</f>
        <v>0.393203883495146</v>
      </c>
      <c r="C24" s="8" t="s">
        <v>120</v>
      </c>
    </row>
    <row r="25" customFormat="false" ht="15" hidden="false" customHeight="true" outlineLevel="0" collapsed="false">
      <c r="A25" s="11" t="s">
        <v>121</v>
      </c>
      <c r="B25" s="40" t="n">
        <f aca="false">B23-0.58</f>
        <v>0.0267961165048544</v>
      </c>
      <c r="C25" s="8" t="s">
        <v>122</v>
      </c>
    </row>
    <row r="26" customFormat="false" ht="15" hidden="false" customHeight="true" outlineLevel="0" collapsed="false">
      <c r="A26" s="41" t="s">
        <v>123</v>
      </c>
      <c r="B26" s="5"/>
      <c r="C26" s="5"/>
    </row>
    <row r="27" customFormat="false" ht="15" hidden="false" customHeight="true" outlineLevel="0" collapsed="false">
      <c r="A27" s="6" t="s">
        <v>124</v>
      </c>
      <c r="B27" s="10" t="n">
        <v>45</v>
      </c>
      <c r="C27" s="14" t="s">
        <v>125</v>
      </c>
    </row>
    <row r="28" customFormat="false" ht="15" hidden="false" customHeight="true" outlineLevel="0" collapsed="false">
      <c r="A28" s="38" t="s">
        <v>126</v>
      </c>
      <c r="B28" s="42" t="n">
        <f aca="false">B22*B27</f>
        <v>16.686</v>
      </c>
      <c r="C28" s="8"/>
    </row>
    <row r="29" customFormat="false" ht="15" hidden="false" customHeight="true" outlineLevel="0" collapsed="false">
      <c r="A29" s="6" t="s">
        <v>127</v>
      </c>
      <c r="B29" s="43" t="n">
        <v>1.4</v>
      </c>
      <c r="C29" s="14" t="s">
        <v>128</v>
      </c>
    </row>
    <row r="30" customFormat="false" ht="15" hidden="false" customHeight="true" outlineLevel="0" collapsed="false">
      <c r="A30" s="11" t="s">
        <v>129</v>
      </c>
      <c r="B30" s="42" t="n">
        <f aca="false">IFERROR(B28/B29,0)</f>
        <v>11.9185714285714</v>
      </c>
      <c r="C30" s="8" t="s">
        <v>130</v>
      </c>
    </row>
    <row r="32" customFormat="false" ht="15" hidden="false" customHeight="true" outlineLevel="0" collapsed="false">
      <c r="A32" s="4" t="s">
        <v>131</v>
      </c>
      <c r="B32" s="5"/>
      <c r="C32" s="5"/>
    </row>
    <row r="33" customFormat="false" ht="15" hidden="false" customHeight="true" outlineLevel="0" collapsed="false">
      <c r="A33" s="6" t="s">
        <v>132</v>
      </c>
      <c r="B33" s="44" t="n">
        <v>10000</v>
      </c>
      <c r="C33" s="45" t="n">
        <f aca="false">B33*$B$22*30</f>
        <v>111240</v>
      </c>
      <c r="D33" s="8" t="s">
        <v>133</v>
      </c>
    </row>
    <row r="34" customFormat="false" ht="15" hidden="false" customHeight="true" outlineLevel="0" collapsed="false">
      <c r="A34" s="6" t="s">
        <v>134</v>
      </c>
      <c r="B34" s="44" t="n">
        <v>50000</v>
      </c>
      <c r="C34" s="45" t="n">
        <f aca="false">B34*$B$22*30</f>
        <v>556200</v>
      </c>
      <c r="D34" s="8" t="s">
        <v>133</v>
      </c>
    </row>
    <row r="35" customFormat="false" ht="15" hidden="false" customHeight="true" outlineLevel="0" collapsed="false">
      <c r="A35" s="6" t="s">
        <v>135</v>
      </c>
      <c r="B35" s="44" t="n">
        <v>200000</v>
      </c>
      <c r="C35" s="45" t="n">
        <f aca="false">B35*$B$22*30</f>
        <v>2224800</v>
      </c>
      <c r="D35" s="8" t="s">
        <v>133</v>
      </c>
    </row>
    <row r="37" customFormat="false" ht="15" hidden="false" customHeight="true" outlineLevel="0" collapsed="false">
      <c r="A37" s="46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5" min="4" style="1" width="11"/>
    <col collapsed="false" customWidth="true" hidden="false" outlineLevel="0" max="6" min="6" style="1" width="12"/>
    <col collapsed="false" customWidth="true" hidden="false" outlineLevel="0" max="8" min="7" style="1" width="11"/>
    <col collapsed="false" customWidth="true" hidden="false" outlineLevel="0" max="10" min="9" style="1" width="13"/>
    <col collapsed="false" customWidth="true" hidden="false" outlineLevel="0" max="11" min="11" style="1" width="9"/>
    <col collapsed="false" customWidth="true" hidden="false" outlineLevel="0" max="12" min="12" style="1" width="11"/>
    <col collapsed="false" customWidth="true" hidden="false" outlineLevel="0" max="13" min="13" style="1" width="9"/>
  </cols>
  <sheetData>
    <row r="1" customFormat="false" ht="15" hidden="false" customHeight="true" outlineLevel="0" collapsed="false">
      <c r="A1" s="21" t="s">
        <v>137</v>
      </c>
      <c r="B1" s="21" t="s">
        <v>138</v>
      </c>
      <c r="C1" s="21" t="s">
        <v>139</v>
      </c>
      <c r="D1" s="21" t="s">
        <v>140</v>
      </c>
      <c r="E1" s="21" t="s">
        <v>141</v>
      </c>
      <c r="F1" s="21" t="s">
        <v>142</v>
      </c>
      <c r="G1" s="21" t="s">
        <v>143</v>
      </c>
      <c r="H1" s="21" t="s">
        <v>144</v>
      </c>
      <c r="I1" s="21" t="s">
        <v>145</v>
      </c>
      <c r="J1" s="21" t="s">
        <v>146</v>
      </c>
      <c r="K1" s="21" t="s">
        <v>147</v>
      </c>
      <c r="L1" s="21" t="s">
        <v>148</v>
      </c>
      <c r="M1" s="21" t="s">
        <v>84</v>
      </c>
    </row>
    <row r="2" customFormat="false" ht="15" hidden="false" customHeight="true" outlineLevel="0" collapsed="false">
      <c r="A2" s="23" t="n">
        <v>1</v>
      </c>
      <c r="B2" s="23" t="n">
        <f aca="false">ROUND(가정!$B$32*(A2+1)^가정!$B$33,0)</f>
        <v>45</v>
      </c>
      <c r="C2" s="47" t="n">
        <v>1</v>
      </c>
      <c r="D2" s="25" t="n">
        <f aca="false">가정!$B$34^(C2-1)</f>
        <v>1</v>
      </c>
      <c r="E2" s="25" t="n">
        <f aca="false">(B2/10)^가정!$B$36</f>
        <v>11.0953248492413</v>
      </c>
      <c r="F2" s="24" t="n">
        <f aca="false">E2</f>
        <v>11.0953248492413</v>
      </c>
      <c r="G2" s="25" t="n">
        <f aca="false">(1+F2*가정!$B$37)*D2</f>
        <v>1.22190649698483</v>
      </c>
      <c r="H2" s="25" t="n">
        <f aca="false">(1+F2*가정!$B$38)*D2^0.6</f>
        <v>1.16642987273862</v>
      </c>
      <c r="I2" s="48" t="n">
        <f aca="false">가정!$B$5*가정!$B$7*가정!$B$6^(B2-1)/가정!$B$18</f>
        <v>98.5265771755036</v>
      </c>
      <c r="J2" s="48" t="n">
        <f aca="false">(가정!$B$12+가정!$B$15*(LOG(가정!$B$9*가정!$B$7*H2*가정!$B$10^B2/(가정!$B$10-1)*(가정!$B$14-1)/가정!$B$13)/LOG(가정!$B$14)))*G2</f>
        <v>153.979776030567</v>
      </c>
      <c r="K2" s="49" t="n">
        <f aca="false">IFERROR(J2/I2,0)</f>
        <v>1.56282477728101</v>
      </c>
      <c r="L2" s="25" t="n">
        <f aca="false">A2/가정!$B$39</f>
        <v>0.333333333333333</v>
      </c>
      <c r="M2" s="26" t="str">
        <f aca="false">IF(K2&lt;1,"미달",IF(K2&gt;4,"과잉","적정"))</f>
        <v>적정</v>
      </c>
    </row>
    <row r="3" customFormat="false" ht="15" hidden="false" customHeight="true" outlineLevel="0" collapsed="false">
      <c r="A3" s="23" t="n">
        <v>2</v>
      </c>
      <c r="B3" s="23" t="n">
        <f aca="false">ROUND(가정!$B$32*(A3+1)^가정!$B$33,0)</f>
        <v>51</v>
      </c>
      <c r="C3" s="47" t="n">
        <f aca="false">IF(B3&gt;=IFERROR(INDEX(가정!$B$42:$B$50,C2),1000000),C2+1,C2)</f>
        <v>2</v>
      </c>
      <c r="D3" s="25" t="n">
        <f aca="false">가정!$B$34^(C3-1)</f>
        <v>2.5</v>
      </c>
      <c r="E3" s="25" t="n">
        <f aca="false">(B3/10)^가정!$B$36</f>
        <v>13.5553982601251</v>
      </c>
      <c r="F3" s="24" t="n">
        <f aca="false">IF(C3&gt;C2,(F2+E3)*가정!$B$35,F2+E3)</f>
        <v>3.69760846640495</v>
      </c>
      <c r="G3" s="25" t="n">
        <f aca="false">(1+F3*가정!$B$37)*D3</f>
        <v>2.68488042332025</v>
      </c>
      <c r="H3" s="25" t="n">
        <f aca="false">(1+F3*가정!$B$38)*D3^0.6</f>
        <v>1.82897379190644</v>
      </c>
      <c r="I3" s="48" t="n">
        <f aca="false">가정!$B$5*가정!$B$7*가정!$B$6^(B3-1)/가정!$B$18</f>
        <v>165.238933501821</v>
      </c>
      <c r="J3" s="48" t="n">
        <f aca="false">(가정!$B$12+가정!$B$15*(LOG(가정!$B$9*가정!$B$7*H3*가정!$B$10^B3/(가정!$B$10-1)*(가정!$B$14-1)/가정!$B$13)/LOG(가정!$B$14)))*G3</f>
        <v>401.147589029045</v>
      </c>
      <c r="K3" s="49" t="n">
        <f aca="false">IFERROR(J3/I3,0)</f>
        <v>2.42768202703646</v>
      </c>
      <c r="L3" s="25" t="n">
        <f aca="false">A3/가정!$B$39</f>
        <v>0.666666666666667</v>
      </c>
      <c r="M3" s="26" t="str">
        <f aca="false">IF(K3&lt;1,"미달",IF(K3&gt;4,"과잉","적정"))</f>
        <v>적정</v>
      </c>
    </row>
    <row r="4" customFormat="false" ht="15" hidden="false" customHeight="true" outlineLevel="0" collapsed="false">
      <c r="A4" s="23" t="n">
        <v>3</v>
      </c>
      <c r="B4" s="23" t="n">
        <f aca="false">ROUND(가정!$B$32*(A4+1)^가정!$B$33,0)</f>
        <v>55</v>
      </c>
      <c r="C4" s="47" t="n">
        <f aca="false">IF(B4&gt;=IFERROR(INDEX(가정!$B$42:$B$50,C3),1000000),C3+1,C3)</f>
        <v>2</v>
      </c>
      <c r="D4" s="25" t="n">
        <f aca="false">가정!$B$34^(C4-1)</f>
        <v>2.5</v>
      </c>
      <c r="E4" s="25" t="n">
        <f aca="false">(B4/10)^가정!$B$36</f>
        <v>15.2960855243423</v>
      </c>
      <c r="F4" s="24" t="n">
        <f aca="false">IF(C4&gt;C3,(F3+E4)*가정!$B$35,F3+E4)</f>
        <v>18.9936939907472</v>
      </c>
      <c r="G4" s="25" t="n">
        <f aca="false">(1+F4*가정!$B$37)*D4</f>
        <v>3.44968469953736</v>
      </c>
      <c r="H4" s="25" t="n">
        <f aca="false">(1+F4*가정!$B$38)*D4^0.6</f>
        <v>2.22656389696862</v>
      </c>
      <c r="I4" s="48" t="n">
        <f aca="false">가정!$B$5*가정!$B$7*가정!$B$6^(B4-1)/가정!$B$18</f>
        <v>233.248239787184</v>
      </c>
      <c r="J4" s="48" t="n">
        <f aca="false">(가정!$B$12+가정!$B$15*(LOG(가정!$B$9*가정!$B$7*H4*가정!$B$10^B4/(가정!$B$10-1)*(가정!$B$14-1)/가정!$B$13)/LOG(가정!$B$14)))*G4</f>
        <v>559.796709163385</v>
      </c>
      <c r="K4" s="49" t="n">
        <f aca="false">IFERROR(J4/I4,0)</f>
        <v>2.40000400292043</v>
      </c>
      <c r="L4" s="25" t="n">
        <f aca="false">A4/가정!$B$39</f>
        <v>1</v>
      </c>
      <c r="M4" s="26" t="str">
        <f aca="false">IF(K4&lt;1,"미달",IF(K4&gt;4,"과잉","적정"))</f>
        <v>적정</v>
      </c>
    </row>
    <row r="5" customFormat="false" ht="15" hidden="false" customHeight="true" outlineLevel="0" collapsed="false">
      <c r="A5" s="23" t="n">
        <v>4</v>
      </c>
      <c r="B5" s="23" t="n">
        <f aca="false">ROUND(가정!$B$32*(A5+1)^가정!$B$33,0)</f>
        <v>58</v>
      </c>
      <c r="C5" s="47" t="n">
        <f aca="false">IF(B5&gt;=IFERROR(INDEX(가정!$B$42:$B$50,C4),1000000),C4+1,C4)</f>
        <v>2</v>
      </c>
      <c r="D5" s="25" t="n">
        <f aca="false">가정!$B$34^(C5-1)</f>
        <v>2.5</v>
      </c>
      <c r="E5" s="25" t="n">
        <f aca="false">(B5/10)^가정!$B$36</f>
        <v>16.6527050398079</v>
      </c>
      <c r="F5" s="24" t="n">
        <f aca="false">IF(C5&gt;C4,(F4+E5)*가정!$B$35,F4+E5)</f>
        <v>35.6463990305552</v>
      </c>
      <c r="G5" s="25" t="n">
        <f aca="false">(1+F5*가정!$B$37)*D5</f>
        <v>4.28231995152776</v>
      </c>
      <c r="H5" s="25" t="n">
        <f aca="false">(1+F5*가정!$B$38)*D5^0.6</f>
        <v>2.65941652032836</v>
      </c>
      <c r="I5" s="48" t="n">
        <f aca="false">가정!$B$5*가정!$B$7*가정!$B$6^(B5-1)/가정!$B$18</f>
        <v>302.063234723357</v>
      </c>
      <c r="J5" s="48" t="n">
        <f aca="false">(가정!$B$12+가정!$B$15*(LOG(가정!$B$9*가정!$B$7*H5*가정!$B$10^B5/(가정!$B$10-1)*(가정!$B$14-1)/가정!$B$13)/LOG(가정!$B$14)))*G5</f>
        <v>739.645350698613</v>
      </c>
      <c r="K5" s="49" t="n">
        <f aca="false">IFERROR(J5/I5,0)</f>
        <v>2.44864407737675</v>
      </c>
      <c r="L5" s="25" t="n">
        <f aca="false">A5/가정!$B$39</f>
        <v>1.33333333333333</v>
      </c>
      <c r="M5" s="26" t="str">
        <f aca="false">IF(K5&lt;1,"미달",IF(K5&gt;4,"과잉","적정"))</f>
        <v>적정</v>
      </c>
    </row>
    <row r="6" customFormat="false" ht="15" hidden="false" customHeight="true" outlineLevel="0" collapsed="false">
      <c r="A6" s="23" t="n">
        <v>5</v>
      </c>
      <c r="B6" s="23" t="n">
        <f aca="false">ROUND(가정!$B$32*(A6+1)^가정!$B$33,0)</f>
        <v>61</v>
      </c>
      <c r="C6" s="47" t="n">
        <f aca="false">IF(B6&gt;=IFERROR(INDEX(가정!$B$42:$B$50,C5),1000000),C5+1,C5)</f>
        <v>2</v>
      </c>
      <c r="D6" s="25" t="n">
        <f aca="false">가정!$B$34^(C6-1)</f>
        <v>2.5</v>
      </c>
      <c r="E6" s="25" t="n">
        <f aca="false">(B6/10)^가정!$B$36</f>
        <v>18.0521002235754</v>
      </c>
      <c r="F6" s="24" t="n">
        <f aca="false">IF(C6&gt;C5,(F5+E6)*가정!$B$35,F5+E6)</f>
        <v>53.6984992541306</v>
      </c>
      <c r="G6" s="25" t="n">
        <f aca="false">(1+F6*가정!$B$37)*D6</f>
        <v>5.18492496270653</v>
      </c>
      <c r="H6" s="25" t="n">
        <f aca="false">(1+F6*가정!$B$38)*D6^0.6</f>
        <v>3.12864352700678</v>
      </c>
      <c r="I6" s="48" t="n">
        <f aca="false">가정!$B$5*가정!$B$7*가정!$B$6^(B6-1)/가정!$B$18</f>
        <v>391.180648800555</v>
      </c>
      <c r="J6" s="48" t="n">
        <f aca="false">(가정!$B$12+가정!$B$15*(LOG(가정!$B$9*가정!$B$7*H6*가정!$B$10^B6/(가정!$B$10-1)*(가정!$B$14-1)/가정!$B$13)/LOG(가정!$B$14)))*G6</f>
        <v>947.625480524172</v>
      </c>
      <c r="K6" s="49" t="n">
        <f aca="false">IFERROR(J6/I6,0)</f>
        <v>2.4224753535989</v>
      </c>
      <c r="L6" s="25" t="n">
        <f aca="false">A6/가정!$B$39</f>
        <v>1.66666666666667</v>
      </c>
      <c r="M6" s="26" t="str">
        <f aca="false">IF(K6&lt;1,"미달",IF(K6&gt;4,"과잉","적정"))</f>
        <v>적정</v>
      </c>
    </row>
    <row r="7" customFormat="false" ht="15" hidden="false" customHeight="true" outlineLevel="0" collapsed="false">
      <c r="A7" s="23" t="n">
        <v>6</v>
      </c>
      <c r="B7" s="23" t="n">
        <f aca="false">ROUND(가정!$B$32*(A7+1)^가정!$B$33,0)</f>
        <v>64</v>
      </c>
      <c r="C7" s="47" t="n">
        <f aca="false">IF(B7&gt;=IFERROR(INDEX(가정!$B$42:$B$50,C6),1000000),C6+1,C6)</f>
        <v>2</v>
      </c>
      <c r="D7" s="25" t="n">
        <f aca="false">가정!$B$34^(C7-1)</f>
        <v>2.5</v>
      </c>
      <c r="E7" s="25" t="n">
        <f aca="false">(B7/10)^가정!$B$36</f>
        <v>19.4934163324506</v>
      </c>
      <c r="F7" s="24" t="n">
        <f aca="false">IF(C7&gt;C6,(F6+E7)*가정!$B$35,F6+E7)</f>
        <v>73.1919155865812</v>
      </c>
      <c r="G7" s="25" t="n">
        <f aca="false">(1+F7*가정!$B$37)*D7</f>
        <v>6.15959577932906</v>
      </c>
      <c r="H7" s="25" t="n">
        <f aca="false">(1+F7*가정!$B$38)*D7^0.6</f>
        <v>3.63533456474357</v>
      </c>
      <c r="I7" s="48" t="n">
        <f aca="false">가정!$B$5*가정!$B$7*가정!$B$6^(B7-1)/가정!$B$18</f>
        <v>506.590284435534</v>
      </c>
      <c r="J7" s="48" t="n">
        <f aca="false">(가정!$B$12+가정!$B$15*(LOG(가정!$B$9*가정!$B$7*H7*가정!$B$10^B7/(가정!$B$10-1)*(가정!$B$14-1)/가정!$B$13)/LOG(가정!$B$14)))*G7</f>
        <v>1185.61317980068</v>
      </c>
      <c r="K7" s="49" t="n">
        <f aca="false">IFERROR(J7/I7,0)</f>
        <v>2.34037883517989</v>
      </c>
      <c r="L7" s="25" t="n">
        <f aca="false">A7/가정!$B$39</f>
        <v>2</v>
      </c>
      <c r="M7" s="26" t="str">
        <f aca="false">IF(K7&lt;1,"미달",IF(K7&gt;4,"과잉","적정"))</f>
        <v>적정</v>
      </c>
    </row>
    <row r="8" customFormat="false" ht="15" hidden="false" customHeight="true" outlineLevel="0" collapsed="false">
      <c r="A8" s="23" t="n">
        <v>7</v>
      </c>
      <c r="B8" s="23" t="n">
        <f aca="false">ROUND(가정!$B$32*(A8+1)^가정!$B$33,0)</f>
        <v>66</v>
      </c>
      <c r="C8" s="47" t="n">
        <f aca="false">IF(B8&gt;=IFERROR(INDEX(가정!$B$42:$B$50,C7),1000000),C7+1,C7)</f>
        <v>2</v>
      </c>
      <c r="D8" s="25" t="n">
        <f aca="false">가정!$B$34^(C8-1)</f>
        <v>2.5</v>
      </c>
      <c r="E8" s="25" t="n">
        <f aca="false">(B8/10)^가정!$B$36</f>
        <v>20.4771870251866</v>
      </c>
      <c r="F8" s="24" t="n">
        <f aca="false">IF(C8&gt;C7,(F7+E8)*가정!$B$35,F7+E8)</f>
        <v>93.6691026117678</v>
      </c>
      <c r="G8" s="25" t="n">
        <f aca="false">(1+F8*가정!$B$37)*D8</f>
        <v>7.18345513058839</v>
      </c>
      <c r="H8" s="25" t="n">
        <f aca="false">(1+F8*가정!$B$38)*D8^0.6</f>
        <v>4.16759668682476</v>
      </c>
      <c r="I8" s="48" t="n">
        <f aca="false">가정!$B$5*가정!$B$7*가정!$B$6^(B8-1)/가정!$B$18</f>
        <v>601.879916937858</v>
      </c>
      <c r="J8" s="48" t="n">
        <f aca="false">(가정!$B$12+가정!$B$15*(LOG(가정!$B$9*가정!$B$7*H8*가정!$B$10^B8/(가정!$B$10-1)*(가정!$B$14-1)/가정!$B$13)/LOG(가정!$B$14)))*G8</f>
        <v>1436.17559592054</v>
      </c>
      <c r="K8" s="49" t="n">
        <f aca="false">IFERROR(J8/I8,0)</f>
        <v>2.38614972107271</v>
      </c>
      <c r="L8" s="25" t="n">
        <f aca="false">A8/가정!$B$39</f>
        <v>2.33333333333333</v>
      </c>
      <c r="M8" s="26" t="str">
        <f aca="false">IF(K8&lt;1,"미달",IF(K8&gt;4,"과잉","적정"))</f>
        <v>적정</v>
      </c>
    </row>
    <row r="9" customFormat="false" ht="15" hidden="false" customHeight="true" outlineLevel="0" collapsed="false">
      <c r="A9" s="23" t="n">
        <v>8</v>
      </c>
      <c r="B9" s="23" t="n">
        <f aca="false">ROUND(가정!$B$32*(A9+1)^가정!$B$33,0)</f>
        <v>68</v>
      </c>
      <c r="C9" s="47" t="n">
        <f aca="false">IF(B9&gt;=IFERROR(INDEX(가정!$B$42:$B$50,C8),1000000),C8+1,C8)</f>
        <v>2</v>
      </c>
      <c r="D9" s="25" t="n">
        <f aca="false">가정!$B$34^(C9-1)</f>
        <v>2.5</v>
      </c>
      <c r="E9" s="25" t="n">
        <f aca="false">(B9/10)^가정!$B$36</f>
        <v>21.4790100064063</v>
      </c>
      <c r="F9" s="24" t="n">
        <f aca="false">IF(C9&gt;C8,(F8+E9)*가정!$B$35,F8+E9)</f>
        <v>115.148112618174</v>
      </c>
      <c r="G9" s="25" t="n">
        <f aca="false">(1+F9*가정!$B$37)*D9</f>
        <v>8.2574056309087</v>
      </c>
      <c r="H9" s="25" t="n">
        <f aca="false">(1+F9*가정!$B$38)*D9^0.6</f>
        <v>4.72589912515044</v>
      </c>
      <c r="I9" s="48" t="n">
        <f aca="false">가정!$B$5*가정!$B$7*가정!$B$6^(B9-1)/가정!$B$18</f>
        <v>715.093529313869</v>
      </c>
      <c r="J9" s="48" t="n">
        <f aca="false">(가정!$B$12+가정!$B$15*(LOG(가정!$B$9*가정!$B$7*H9*가정!$B$10^B9/(가정!$B$10-1)*(가정!$B$14-1)/가정!$B$13)/LOG(가정!$B$14)))*G9</f>
        <v>1709.98583039814</v>
      </c>
      <c r="K9" s="49" t="n">
        <f aca="false">IFERROR(J9/I9,0)</f>
        <v>2.39127577065181</v>
      </c>
      <c r="L9" s="25" t="n">
        <f aca="false">A9/가정!$B$39</f>
        <v>2.66666666666667</v>
      </c>
      <c r="M9" s="26" t="str">
        <f aca="false">IF(K9&lt;1,"미달",IF(K9&gt;4,"과잉","적정"))</f>
        <v>적정</v>
      </c>
    </row>
    <row r="10" customFormat="false" ht="15" hidden="false" customHeight="true" outlineLevel="0" collapsed="false">
      <c r="A10" s="23" t="n">
        <v>9</v>
      </c>
      <c r="B10" s="23" t="n">
        <f aca="false">ROUND(가정!$B$32*(A10+1)^가정!$B$33,0)</f>
        <v>70</v>
      </c>
      <c r="C10" s="47" t="n">
        <f aca="false">IF(B10&gt;=IFERROR(INDEX(가정!$B$42:$B$50,C9),1000000),C9+1,C9)</f>
        <v>2</v>
      </c>
      <c r="D10" s="25" t="n">
        <f aca="false">가정!$B$34^(C10-1)</f>
        <v>2.5</v>
      </c>
      <c r="E10" s="25" t="n">
        <f aca="false">(B10/10)^가정!$B$36</f>
        <v>22.4986709480123</v>
      </c>
      <c r="F10" s="24" t="n">
        <f aca="false">IF(C10&gt;C9,(F9+E10)*가정!$B$35,F9+E10)</f>
        <v>137.646783566186</v>
      </c>
      <c r="G10" s="25" t="n">
        <f aca="false">(1+F10*가정!$B$37)*D10</f>
        <v>9.38233917830932</v>
      </c>
      <c r="H10" s="25" t="n">
        <f aca="false">(1+F10*가정!$B$38)*D10^0.6</f>
        <v>5.31070554060516</v>
      </c>
      <c r="I10" s="48" t="n">
        <f aca="false">가정!$B$5*가정!$B$7*가정!$B$6^(B10-1)/가정!$B$18</f>
        <v>849.602622177808</v>
      </c>
      <c r="J10" s="48" t="n">
        <f aca="false">(가정!$B$12+가정!$B$15*(LOG(가정!$B$9*가정!$B$7*H10*가정!$B$10^B10/(가정!$B$10-1)*(가정!$B$14-1)/가정!$B$13)/LOG(가정!$B$14)))*G10</f>
        <v>2007.8429554782</v>
      </c>
      <c r="K10" s="49" t="n">
        <f aca="false">IFERROR(J10/I10,0)</f>
        <v>2.3632730208994</v>
      </c>
      <c r="L10" s="25" t="n">
        <f aca="false">A10/가정!$B$39</f>
        <v>3</v>
      </c>
      <c r="M10" s="26" t="str">
        <f aca="false">IF(K10&lt;1,"미달",IF(K10&gt;4,"과잉","적정"))</f>
        <v>적정</v>
      </c>
    </row>
    <row r="11" customFormat="false" ht="15" hidden="false" customHeight="true" outlineLevel="0" collapsed="false">
      <c r="A11" s="23" t="n">
        <v>10</v>
      </c>
      <c r="B11" s="23" t="n">
        <f aca="false">ROUND(가정!$B$32*(A11+1)^가정!$B$33,0)</f>
        <v>72</v>
      </c>
      <c r="C11" s="47" t="n">
        <f aca="false">IF(B11&gt;=IFERROR(INDEX(가정!$B$42:$B$50,C10),1000000),C10+1,C10)</f>
        <v>2</v>
      </c>
      <c r="D11" s="25" t="n">
        <f aca="false">가정!$B$34^(C11-1)</f>
        <v>2.5</v>
      </c>
      <c r="E11" s="25" t="n">
        <f aca="false">(B11/10)^가정!$B$36</f>
        <v>23.5359641729664</v>
      </c>
      <c r="F11" s="24" t="n">
        <f aca="false">IF(C11&gt;C10,(F10+E11)*가정!$B$35,F10+E11)</f>
        <v>161.182747739153</v>
      </c>
      <c r="G11" s="25" t="n">
        <f aca="false">(1+F11*가정!$B$37)*D11</f>
        <v>10.5591373869576</v>
      </c>
      <c r="H11" s="25" t="n">
        <f aca="false">(1+F11*가정!$B$38)*D11^0.6</f>
        <v>5.92247424792426</v>
      </c>
      <c r="I11" s="48" t="n">
        <f aca="false">가정!$B$5*가정!$B$7*가정!$B$6^(B11-1)/가정!$B$18</f>
        <v>1009.41287540945</v>
      </c>
      <c r="J11" s="48" t="n">
        <f aca="false">(가정!$B$12+가정!$B$15*(LOG(가정!$B$9*가정!$B$7*H11*가정!$B$10^B11/(가정!$B$10-1)*(가정!$B$14-1)/가정!$B$13)/LOG(가정!$B$14)))*G11</f>
        <v>2330.58618114695</v>
      </c>
      <c r="K11" s="49" t="n">
        <f aca="false">IFERROR(J11/I11,0)</f>
        <v>2.30885323332296</v>
      </c>
      <c r="L11" s="25" t="n">
        <f aca="false">A11/가정!$B$39</f>
        <v>3.33333333333333</v>
      </c>
      <c r="M11" s="26" t="str">
        <f aca="false">IF(K11&lt;1,"미달",IF(K11&gt;4,"과잉","적정"))</f>
        <v>적정</v>
      </c>
    </row>
    <row r="12" customFormat="false" ht="15" hidden="false" customHeight="true" outlineLevel="0" collapsed="false">
      <c r="A12" s="23" t="n">
        <v>11</v>
      </c>
      <c r="B12" s="23" t="n">
        <f aca="false">ROUND(가정!$B$32*(A12+1)^가정!$B$33,0)</f>
        <v>74</v>
      </c>
      <c r="C12" s="47" t="n">
        <f aca="false">IF(B12&gt;=IFERROR(INDEX(가정!$B$42:$B$50,C11),1000000),C11+1,C11)</f>
        <v>2</v>
      </c>
      <c r="D12" s="25" t="n">
        <f aca="false">가정!$B$34^(C12-1)</f>
        <v>2.5</v>
      </c>
      <c r="E12" s="25" t="n">
        <f aca="false">(B12/10)^가정!$B$36</f>
        <v>24.590692073357</v>
      </c>
      <c r="F12" s="24" t="n">
        <f aca="false">IF(C12&gt;C11,(F11+E12)*가정!$B$35,F11+E12)</f>
        <v>185.77343981251</v>
      </c>
      <c r="G12" s="25" t="n">
        <f aca="false">(1+F12*가정!$B$37)*D12</f>
        <v>11.7886719906255</v>
      </c>
      <c r="H12" s="25" t="n">
        <f aca="false">(1+F12*가정!$B$38)*D12^0.6</f>
        <v>6.56165842543414</v>
      </c>
      <c r="I12" s="48" t="n">
        <f aca="false">가정!$B$5*가정!$B$7*가정!$B$6^(B12-1)/가정!$B$18</f>
        <v>1199.28343727397</v>
      </c>
      <c r="J12" s="48" t="n">
        <f aca="false">(가정!$B$12+가정!$B$15*(LOG(가정!$B$9*가정!$B$7*H12*가정!$B$10^B12/(가정!$B$10-1)*(가정!$B$14-1)/가정!$B$13)/LOG(가정!$B$14)))*G12</f>
        <v>2679.0869228569</v>
      </c>
      <c r="K12" s="49" t="n">
        <f aca="false">IFERROR(J12/I12,0)</f>
        <v>2.23390638075232</v>
      </c>
      <c r="L12" s="25" t="n">
        <f aca="false">A12/가정!$B$39</f>
        <v>3.66666666666667</v>
      </c>
      <c r="M12" s="26" t="str">
        <f aca="false">IF(K12&lt;1,"미달",IF(K12&gt;4,"과잉","적정"))</f>
        <v>적정</v>
      </c>
    </row>
    <row r="13" customFormat="false" ht="15" hidden="false" customHeight="true" outlineLevel="0" collapsed="false">
      <c r="A13" s="23" t="n">
        <v>12</v>
      </c>
      <c r="B13" s="23" t="n">
        <f aca="false">ROUND(가정!$B$32*(A13+1)^가정!$B$33,0)</f>
        <v>75</v>
      </c>
      <c r="C13" s="47" t="n">
        <f aca="false">IF(B13&gt;=IFERROR(INDEX(가정!$B$42:$B$50,C12),1000000),C12+1,C12)</f>
        <v>2</v>
      </c>
      <c r="D13" s="25" t="n">
        <f aca="false">가정!$B$34^(C13-1)</f>
        <v>2.5</v>
      </c>
      <c r="E13" s="25" t="n">
        <f aca="false">(B13/10)^가정!$B$36</f>
        <v>25.1245343498357</v>
      </c>
      <c r="F13" s="24" t="n">
        <f aca="false">IF(C13&gt;C12,(F12+E13)*가정!$B$35,F12+E13)</f>
        <v>210.897974162345</v>
      </c>
      <c r="G13" s="25" t="n">
        <f aca="false">(1+F13*가정!$B$37)*D13</f>
        <v>13.0448987081173</v>
      </c>
      <c r="H13" s="25" t="n">
        <f aca="false">(1+F13*가정!$B$38)*D13^0.6</f>
        <v>7.2147187287315</v>
      </c>
      <c r="I13" s="48" t="n">
        <f aca="false">가정!$B$5*가정!$B$7*가정!$B$6^(B13-1)/가정!$B$18</f>
        <v>1307.21894662863</v>
      </c>
      <c r="J13" s="48" t="n">
        <f aca="false">(가정!$B$12+가정!$B$15*(LOG(가정!$B$9*가정!$B$7*H13*가정!$B$10^B13/(가정!$B$10-1)*(가정!$B$14-1)/가정!$B$13)/LOG(가정!$B$14)))*G13</f>
        <v>3022.31401930541</v>
      </c>
      <c r="K13" s="49" t="n">
        <f aca="false">IFERROR(J13/I13,0)</f>
        <v>2.31201821783572</v>
      </c>
      <c r="L13" s="25" t="n">
        <f aca="false">A13/가정!$B$39</f>
        <v>4</v>
      </c>
      <c r="M13" s="26" t="str">
        <f aca="false">IF(K13&lt;1,"미달",IF(K13&gt;4,"과잉","적정"))</f>
        <v>적정</v>
      </c>
    </row>
    <row r="14" customFormat="false" ht="15" hidden="false" customHeight="true" outlineLevel="0" collapsed="false">
      <c r="A14" s="23" t="n">
        <v>13</v>
      </c>
      <c r="B14" s="23" t="n">
        <f aca="false">ROUND(가정!$B$32*(A14+1)^가정!$B$33,0)</f>
        <v>77</v>
      </c>
      <c r="C14" s="47" t="n">
        <f aca="false">IF(B14&gt;=IFERROR(INDEX(가정!$B$42:$B$50,C13),1000000),C13+1,C13)</f>
        <v>2</v>
      </c>
      <c r="D14" s="25" t="n">
        <f aca="false">가정!$B$34^(C14-1)</f>
        <v>2.5</v>
      </c>
      <c r="E14" s="25" t="n">
        <f aca="false">(B14/10)^가정!$B$36</f>
        <v>26.2050601122764</v>
      </c>
      <c r="F14" s="24" t="n">
        <f aca="false">IF(C14&gt;C13,(F13+E14)*가정!$B$35,F13+E14)</f>
        <v>237.103034274622</v>
      </c>
      <c r="G14" s="25" t="n">
        <f aca="false">(1+F14*가정!$B$37)*D14</f>
        <v>14.3551517137311</v>
      </c>
      <c r="H14" s="25" t="n">
        <f aca="false">(1+F14*가정!$B$38)*D14^0.6</f>
        <v>7.89586506428382</v>
      </c>
      <c r="I14" s="48" t="n">
        <f aca="false">가정!$B$5*가정!$B$7*가정!$B$6^(B14-1)/가정!$B$18</f>
        <v>1553.10683048947</v>
      </c>
      <c r="J14" s="48" t="n">
        <f aca="false">(가정!$B$12+가정!$B$15*(LOG(가정!$B$9*가정!$B$7*H14*가정!$B$10^B14/(가정!$B$10-1)*(가정!$B$14-1)/가정!$B$13)/LOG(가정!$B$14)))*G14</f>
        <v>3415.12759059332</v>
      </c>
      <c r="K14" s="49" t="n">
        <f aca="false">IFERROR(J14/I14,0)</f>
        <v>2.19890063165649</v>
      </c>
      <c r="L14" s="25" t="n">
        <f aca="false">A14/가정!$B$39</f>
        <v>4.33333333333333</v>
      </c>
      <c r="M14" s="26" t="str">
        <f aca="false">IF(K14&lt;1,"미달",IF(K14&gt;4,"과잉","적정"))</f>
        <v>적정</v>
      </c>
    </row>
    <row r="15" customFormat="false" ht="15" hidden="false" customHeight="true" outlineLevel="0" collapsed="false">
      <c r="A15" s="23" t="n">
        <v>14</v>
      </c>
      <c r="B15" s="23" t="n">
        <f aca="false">ROUND(가정!$B$32*(A15+1)^가정!$B$33,0)</f>
        <v>78</v>
      </c>
      <c r="C15" s="47" t="n">
        <f aca="false">IF(B15&gt;=IFERROR(INDEX(가정!$B$42:$B$50,C14),1000000),C14+1,C14)</f>
        <v>2</v>
      </c>
      <c r="D15" s="25" t="n">
        <f aca="false">가정!$B$34^(C15-1)</f>
        <v>2.5</v>
      </c>
      <c r="E15" s="25" t="n">
        <f aca="false">(B15/10)^가정!$B$36</f>
        <v>26.7516986942039</v>
      </c>
      <c r="F15" s="24" t="n">
        <f aca="false">IF(C15&gt;C14,(F14+E15)*가정!$B$35,F14+E15)</f>
        <v>263.854732968826</v>
      </c>
      <c r="G15" s="25" t="n">
        <f aca="false">(1+F15*가정!$B$37)*D15</f>
        <v>15.6927366484413</v>
      </c>
      <c r="H15" s="25" t="n">
        <f aca="false">(1+F15*가정!$B$38)*D15^0.6</f>
        <v>8.59122013911611</v>
      </c>
      <c r="I15" s="48" t="n">
        <f aca="false">가정!$B$5*가정!$B$7*가정!$B$6^(B15-1)/가정!$B$18</f>
        <v>1692.88644523353</v>
      </c>
      <c r="J15" s="48" t="n">
        <f aca="false">(가정!$B$12+가정!$B$15*(LOG(가정!$B$9*가정!$B$7*H15*가정!$B$10^B15/(가정!$B$10-1)*(가정!$B$14-1)/가정!$B$13)/LOG(가정!$B$14)))*G15</f>
        <v>3798.4469411482</v>
      </c>
      <c r="K15" s="49" t="n">
        <f aca="false">IFERROR(J15/I15,0)</f>
        <v>2.24376948131581</v>
      </c>
      <c r="L15" s="25" t="n">
        <f aca="false">A15/가정!$B$39</f>
        <v>4.66666666666667</v>
      </c>
      <c r="M15" s="26" t="str">
        <f aca="false">IF(K15&lt;1,"미달",IF(K15&gt;4,"과잉","적정"))</f>
        <v>적정</v>
      </c>
    </row>
    <row r="16" customFormat="false" ht="15" hidden="false" customHeight="true" outlineLevel="0" collapsed="false">
      <c r="A16" s="23" t="n">
        <v>15</v>
      </c>
      <c r="B16" s="23" t="n">
        <f aca="false">ROUND(가정!$B$32*(A16+1)^가정!$B$33,0)</f>
        <v>79</v>
      </c>
      <c r="C16" s="47" t="n">
        <f aca="false">IF(B16&gt;=IFERROR(INDEX(가정!$B$42:$B$50,C15),1000000),C15+1,C15)</f>
        <v>2</v>
      </c>
      <c r="D16" s="25" t="n">
        <f aca="false">가정!$B$34^(C16-1)</f>
        <v>2.5</v>
      </c>
      <c r="E16" s="25" t="n">
        <f aca="false">(B16/10)^가정!$B$36</f>
        <v>27.3025584838473</v>
      </c>
      <c r="F16" s="24" t="n">
        <f aca="false">IF(C16&gt;C15,(F15+E16)*가정!$B$35,F15+E16)</f>
        <v>291.157291452673</v>
      </c>
      <c r="G16" s="25" t="n">
        <f aca="false">(1+F16*가정!$B$37)*D16</f>
        <v>17.0578645726337</v>
      </c>
      <c r="H16" s="25" t="n">
        <f aca="false">(1+F16*가정!$B$38)*D16^0.6</f>
        <v>9.30089367479188</v>
      </c>
      <c r="I16" s="48" t="n">
        <f aca="false">가정!$B$5*가정!$B$7*가정!$B$6^(B16-1)/가정!$B$18</f>
        <v>1845.24622530455</v>
      </c>
      <c r="J16" s="48" t="n">
        <f aca="false">(가정!$B$12+가정!$B$15*(LOG(가정!$B$9*가정!$B$7*H16*가정!$B$10^B16/(가정!$B$10-1)*(가정!$B$14-1)/가정!$B$13)/LOG(가정!$B$14)))*G16</f>
        <v>4197.37372537886</v>
      </c>
      <c r="K16" s="49" t="n">
        <f aca="false">IFERROR(J16/I16,0)</f>
        <v>2.2746957386059</v>
      </c>
      <c r="L16" s="25" t="n">
        <f aca="false">A16/가정!$B$39</f>
        <v>5</v>
      </c>
      <c r="M16" s="26" t="str">
        <f aca="false">IF(K16&lt;1,"미달",IF(K16&gt;4,"과잉","적정"))</f>
        <v>적정</v>
      </c>
    </row>
    <row r="17" customFormat="false" ht="15" hidden="false" customHeight="true" outlineLevel="0" collapsed="false">
      <c r="A17" s="23" t="n">
        <v>16</v>
      </c>
      <c r="B17" s="23" t="n">
        <f aca="false">ROUND(가정!$B$32*(A17+1)^가정!$B$33,0)</f>
        <v>81</v>
      </c>
      <c r="C17" s="47" t="n">
        <f aca="false">IF(B17&gt;=IFERROR(INDEX(가정!$B$42:$B$50,C16),1000000),C16+1,C16)</f>
        <v>3</v>
      </c>
      <c r="D17" s="25" t="n">
        <f aca="false">가정!$B$34^(C17-1)</f>
        <v>6.25</v>
      </c>
      <c r="E17" s="25" t="n">
        <f aca="false">(B17/10)^가정!$B$36</f>
        <v>28.416856240279</v>
      </c>
      <c r="F17" s="24" t="n">
        <f aca="false">IF(C17&gt;C16,(F16+E17)*가정!$B$35,F16+E17)</f>
        <v>47.9361221539428</v>
      </c>
      <c r="G17" s="25" t="n">
        <f aca="false">(1+F17*가정!$B$37)*D17</f>
        <v>12.2420152692429</v>
      </c>
      <c r="H17" s="25" t="n">
        <f aca="false">(1+F17*가정!$B$38)*D17^0.6</f>
        <v>5.1619578695568</v>
      </c>
      <c r="I17" s="48" t="n">
        <f aca="false">가정!$B$5*가정!$B$7*가정!$B$6^(B17-1)/가정!$B$18</f>
        <v>2192.33704028433</v>
      </c>
      <c r="J17" s="48" t="n">
        <f aca="false">(가정!$B$12+가정!$B$15*(LOG(가정!$B$9*가정!$B$7*H17*가정!$B$10^B17/(가정!$B$10-1)*(가정!$B$14-1)/가정!$B$13)/LOG(가정!$B$14)))*G17</f>
        <v>2868.41797587357</v>
      </c>
      <c r="K17" s="49" t="n">
        <f aca="false">IFERROR(J17/I17,0)</f>
        <v>1.30838366691171</v>
      </c>
      <c r="L17" s="25" t="n">
        <f aca="false">A17/가정!$B$39</f>
        <v>5.33333333333333</v>
      </c>
      <c r="M17" s="26" t="str">
        <f aca="false">IF(K17&lt;1,"미달",IF(K17&gt;4,"과잉","적정"))</f>
        <v>적정</v>
      </c>
    </row>
    <row r="18" customFormat="false" ht="15" hidden="false" customHeight="true" outlineLevel="0" collapsed="false">
      <c r="A18" s="23" t="n">
        <v>17</v>
      </c>
      <c r="B18" s="23" t="n">
        <f aca="false">ROUND(가정!$B$32*(A18+1)^가정!$B$33,0)</f>
        <v>82</v>
      </c>
      <c r="C18" s="47" t="n">
        <f aca="false">IF(B18&gt;=IFERROR(INDEX(가정!$B$42:$B$50,C17),1000000),C17+1,C17)</f>
        <v>3</v>
      </c>
      <c r="D18" s="25" t="n">
        <f aca="false">가정!$B$34^(C18-1)</f>
        <v>6.25</v>
      </c>
      <c r="E18" s="25" t="n">
        <f aca="false">(B18/10)^가정!$B$36</f>
        <v>28.9802524151545</v>
      </c>
      <c r="F18" s="24" t="n">
        <f aca="false">IF(C18&gt;C17,(F17+E18)*가정!$B$35,F17+E18)</f>
        <v>76.9163745690973</v>
      </c>
      <c r="G18" s="25" t="n">
        <f aca="false">(1+F18*가정!$B$37)*D18</f>
        <v>15.8645468211372</v>
      </c>
      <c r="H18" s="25" t="n">
        <f aca="false">(1+F18*가정!$B$38)*D18^0.6</f>
        <v>6.46729121751148</v>
      </c>
      <c r="I18" s="48" t="n">
        <f aca="false">가정!$B$5*가정!$B$7*가정!$B$6^(B18-1)/가정!$B$18</f>
        <v>2389.64737390992</v>
      </c>
      <c r="J18" s="48" t="n">
        <f aca="false">(가정!$B$12+가정!$B$15*(LOG(가정!$B$9*가정!$B$7*H18*가정!$B$10^B18/(가정!$B$10-1)*(가정!$B$14-1)/가정!$B$13)/LOG(가정!$B$14)))*G18</f>
        <v>3842.25928389143</v>
      </c>
      <c r="K18" s="49" t="n">
        <f aca="false">IFERROR(J18/I18,0)</f>
        <v>1.60787709761744</v>
      </c>
      <c r="L18" s="25" t="n">
        <f aca="false">A18/가정!$B$39</f>
        <v>5.66666666666667</v>
      </c>
      <c r="M18" s="26" t="str">
        <f aca="false">IF(K18&lt;1,"미달",IF(K18&gt;4,"과잉","적정"))</f>
        <v>적정</v>
      </c>
    </row>
    <row r="19" customFormat="false" ht="15" hidden="false" customHeight="true" outlineLevel="0" collapsed="false">
      <c r="A19" s="23" t="n">
        <v>18</v>
      </c>
      <c r="B19" s="23" t="n">
        <f aca="false">ROUND(가정!$B$32*(A19+1)^가정!$B$33,0)</f>
        <v>83</v>
      </c>
      <c r="C19" s="47" t="n">
        <f aca="false">IF(B19&gt;=IFERROR(INDEX(가정!$B$42:$B$50,C18),1000000),C18+1,C18)</f>
        <v>3</v>
      </c>
      <c r="D19" s="25" t="n">
        <f aca="false">가정!$B$34^(C19-1)</f>
        <v>6.25</v>
      </c>
      <c r="E19" s="25" t="n">
        <f aca="false">(B19/10)^가정!$B$36</f>
        <v>29.5477861919654</v>
      </c>
      <c r="F19" s="24" t="n">
        <f aca="false">IF(C19&gt;C18,(F18+E19)*가정!$B$35,F18+E19)</f>
        <v>106.464160761063</v>
      </c>
      <c r="G19" s="25" t="n">
        <f aca="false">(1+F19*가정!$B$37)*D19</f>
        <v>19.5580200951328</v>
      </c>
      <c r="H19" s="25" t="n">
        <f aca="false">(1+F19*가정!$B$38)*D19^0.6</f>
        <v>7.79818751620756</v>
      </c>
      <c r="I19" s="48" t="n">
        <f aca="false">가정!$B$5*가정!$B$7*가정!$B$6^(B19-1)/가정!$B$18</f>
        <v>2604.71563756181</v>
      </c>
      <c r="J19" s="48" t="n">
        <f aca="false">(가정!$B$12+가정!$B$15*(LOG(가정!$B$9*가정!$B$7*H19*가정!$B$10^B19/(가정!$B$10-1)*(가정!$B$14-1)/가정!$B$13)/LOG(가정!$B$14)))*G19</f>
        <v>4871.11569372667</v>
      </c>
      <c r="K19" s="49" t="n">
        <f aca="false">IFERROR(J19/I19,0)</f>
        <v>1.87011419729731</v>
      </c>
      <c r="L19" s="25" t="n">
        <f aca="false">A19/가정!$B$39</f>
        <v>6</v>
      </c>
      <c r="M19" s="26" t="str">
        <f aca="false">IF(K19&lt;1,"미달",IF(K19&gt;4,"과잉","적정"))</f>
        <v>적정</v>
      </c>
    </row>
    <row r="20" customFormat="false" ht="15" hidden="false" customHeight="true" outlineLevel="0" collapsed="false">
      <c r="A20" s="23" t="n">
        <v>19</v>
      </c>
      <c r="B20" s="23" t="n">
        <f aca="false">ROUND(가정!$B$32*(A20+1)^가정!$B$33,0)</f>
        <v>84</v>
      </c>
      <c r="C20" s="47" t="n">
        <f aca="false">IF(B20&gt;=IFERROR(INDEX(가정!$B$42:$B$50,C19),1000000),C19+1,C19)</f>
        <v>3</v>
      </c>
      <c r="D20" s="25" t="n">
        <f aca="false">가정!$B$34^(C20-1)</f>
        <v>6.25</v>
      </c>
      <c r="E20" s="25" t="n">
        <f aca="false">(B20/10)^가정!$B$36</f>
        <v>30.1194375572368</v>
      </c>
      <c r="F20" s="24" t="n">
        <f aca="false">IF(C20&gt;C19,(F19+E20)*가정!$B$35,F19+E20)</f>
        <v>136.5835983183</v>
      </c>
      <c r="G20" s="25" t="n">
        <f aca="false">(1+F20*가정!$B$37)*D20</f>
        <v>23.3229497897874</v>
      </c>
      <c r="H20" s="25" t="n">
        <f aca="false">(1+F20*가정!$B$38)*D20^0.6</f>
        <v>9.15483223074913</v>
      </c>
      <c r="I20" s="48" t="n">
        <f aca="false">가정!$B$5*가정!$B$7*가정!$B$6^(B20-1)/가정!$B$18</f>
        <v>2839.14004494238</v>
      </c>
      <c r="J20" s="48" t="n">
        <f aca="false">(가정!$B$12+가정!$B$15*(LOG(가정!$B$9*가정!$B$7*H20*가정!$B$10^B20/(가정!$B$10-1)*(가정!$B$14-1)/가정!$B$13)/LOG(가정!$B$14)))*G20</f>
        <v>5952.48346505459</v>
      </c>
      <c r="K20" s="49" t="n">
        <f aca="false">IFERROR(J20/I20,0)</f>
        <v>2.09657972866055</v>
      </c>
      <c r="L20" s="25" t="n">
        <f aca="false">A20/가정!$B$39</f>
        <v>6.33333333333333</v>
      </c>
      <c r="M20" s="26" t="str">
        <f aca="false">IF(K20&lt;1,"미달",IF(K20&gt;4,"과잉","적정"))</f>
        <v>적정</v>
      </c>
    </row>
    <row r="21" customFormat="false" ht="15" hidden="false" customHeight="true" outlineLevel="0" collapsed="false">
      <c r="A21" s="23" t="n">
        <v>20</v>
      </c>
      <c r="B21" s="23" t="n">
        <f aca="false">ROUND(가정!$B$32*(A21+1)^가정!$B$33,0)</f>
        <v>86</v>
      </c>
      <c r="C21" s="47" t="n">
        <f aca="false">IF(B21&gt;=IFERROR(INDEX(가정!$B$42:$B$50,C20),1000000),C20+1,C20)</f>
        <v>3</v>
      </c>
      <c r="D21" s="25" t="n">
        <f aca="false">가정!$B$34^(C21-1)</f>
        <v>6.25</v>
      </c>
      <c r="E21" s="25" t="n">
        <f aca="false">(B21/10)^가정!$B$36</f>
        <v>31.2750146636676</v>
      </c>
      <c r="F21" s="24" t="n">
        <f aca="false">IF(C21&gt;C20,(F20+E21)*가정!$B$35,F20+E21)</f>
        <v>167.858612981967</v>
      </c>
      <c r="G21" s="25" t="n">
        <f aca="false">(1+F21*가정!$B$37)*D21</f>
        <v>27.2323266227459</v>
      </c>
      <c r="H21" s="25" t="n">
        <f aca="false">(1+F21*가정!$B$38)*D21^0.6</f>
        <v>10.5635266414613</v>
      </c>
      <c r="I21" s="48" t="n">
        <f aca="false">가정!$B$5*가정!$B$7*가정!$B$6^(B21-1)/가정!$B$18</f>
        <v>3373.18228739604</v>
      </c>
      <c r="J21" s="48" t="n">
        <f aca="false">(가정!$B$12+가정!$B$15*(LOG(가정!$B$9*가정!$B$7*H21*가정!$B$10^B21/(가정!$B$10-1)*(가정!$B$14-1)/가정!$B$13)/LOG(가정!$B$14)))*G21</f>
        <v>7157.6814001738</v>
      </c>
      <c r="K21" s="49" t="n">
        <f aca="false">IFERROR(J21/I21,0)</f>
        <v>2.12193732515394</v>
      </c>
      <c r="L21" s="25" t="n">
        <f aca="false">A21/가정!$B$39</f>
        <v>6.66666666666667</v>
      </c>
      <c r="M21" s="26" t="str">
        <f aca="false">IF(K21&lt;1,"미달",IF(K21&gt;4,"과잉","적정"))</f>
        <v>적정</v>
      </c>
    </row>
    <row r="22" customFormat="false" ht="15" hidden="false" customHeight="true" outlineLevel="0" collapsed="false">
      <c r="A22" s="23" t="n">
        <v>21</v>
      </c>
      <c r="B22" s="23" t="n">
        <f aca="false">ROUND(가정!$B$32*(A22+1)^가정!$B$33,0)</f>
        <v>87</v>
      </c>
      <c r="C22" s="47" t="n">
        <f aca="false">IF(B22&gt;=IFERROR(INDEX(가정!$B$42:$B$50,C21),1000000),C21+1,C21)</f>
        <v>3</v>
      </c>
      <c r="D22" s="25" t="n">
        <f aca="false">가정!$B$34^(C22-1)</f>
        <v>6.25</v>
      </c>
      <c r="E22" s="25" t="n">
        <f aca="false">(B22/10)^가정!$B$36</f>
        <v>31.8589020141985</v>
      </c>
      <c r="F22" s="24" t="n">
        <f aca="false">IF(C22&gt;C21,(F21+E22)*가정!$B$35,F21+E22)</f>
        <v>199.717514996166</v>
      </c>
      <c r="G22" s="25" t="n">
        <f aca="false">(1+F22*가정!$B$37)*D22</f>
        <v>31.2146893745207</v>
      </c>
      <c r="H22" s="25" t="n">
        <f aca="false">(1+F22*가정!$B$38)*D22^0.6</f>
        <v>11.9985206033016</v>
      </c>
      <c r="I22" s="48" t="n">
        <f aca="false">가정!$B$5*가정!$B$7*가정!$B$6^(B22-1)/가정!$B$18</f>
        <v>3676.76869326168</v>
      </c>
      <c r="J22" s="48" t="n">
        <f aca="false">(가정!$B$12+가정!$B$15*(LOG(가정!$B$9*가정!$B$7*H22*가정!$B$10^B22/(가정!$B$10-1)*(가정!$B$14-1)/가정!$B$13)/LOG(가정!$B$14)))*G22</f>
        <v>8369.40687431648</v>
      </c>
      <c r="K22" s="49" t="n">
        <f aca="false">IFERROR(J22/I22,0)</f>
        <v>2.27629409749242</v>
      </c>
      <c r="L22" s="25" t="n">
        <f aca="false">A22/가정!$B$39</f>
        <v>7</v>
      </c>
      <c r="M22" s="26" t="str">
        <f aca="false">IF(K22&lt;1,"미달",IF(K22&gt;4,"과잉","적정"))</f>
        <v>적정</v>
      </c>
    </row>
    <row r="23" customFormat="false" ht="15" hidden="false" customHeight="true" outlineLevel="0" collapsed="false">
      <c r="A23" s="23" t="n">
        <v>22</v>
      </c>
      <c r="B23" s="23" t="n">
        <f aca="false">ROUND(가정!$B$32*(A23+1)^가정!$B$33,0)</f>
        <v>88</v>
      </c>
      <c r="C23" s="47" t="n">
        <f aca="false">IF(B23&gt;=IFERROR(INDEX(가정!$B$42:$B$50,C22),1000000),C22+1,C22)</f>
        <v>3</v>
      </c>
      <c r="D23" s="25" t="n">
        <f aca="false">가정!$B$34^(C23-1)</f>
        <v>6.25</v>
      </c>
      <c r="E23" s="25" t="n">
        <f aca="false">(B23/10)^가정!$B$36</f>
        <v>32.4468301540686</v>
      </c>
      <c r="F23" s="24" t="n">
        <f aca="false">IF(C23&gt;C22,(F22+E23)*가정!$B$35,F22+E23)</f>
        <v>232.164345150234</v>
      </c>
      <c r="G23" s="25" t="n">
        <f aca="false">(1+F23*가정!$B$37)*D23</f>
        <v>35.2705431437793</v>
      </c>
      <c r="H23" s="25" t="n">
        <f aca="false">(1+F23*가정!$B$38)*D23^0.6</f>
        <v>13.4599961221753</v>
      </c>
      <c r="I23" s="48" t="n">
        <f aca="false">가정!$B$5*가정!$B$7*가정!$B$6^(B23-1)/가정!$B$18</f>
        <v>4007.67787565523</v>
      </c>
      <c r="J23" s="48" t="n">
        <f aca="false">(가정!$B$12+가정!$B$15*(LOG(가정!$B$9*가정!$B$7*H23*가정!$B$10^B23/(가정!$B$10-1)*(가정!$B$14-1)/가정!$B$13)/LOG(가정!$B$14)))*G23</f>
        <v>9631.71703126616</v>
      </c>
      <c r="K23" s="49" t="n">
        <f aca="false">IFERROR(J23/I23,0)</f>
        <v>2.40331616714365</v>
      </c>
      <c r="L23" s="25" t="n">
        <f aca="false">A23/가정!$B$39</f>
        <v>7.33333333333333</v>
      </c>
      <c r="M23" s="26" t="str">
        <f aca="false">IF(K23&lt;1,"미달",IF(K23&gt;4,"과잉","적정"))</f>
        <v>적정</v>
      </c>
    </row>
    <row r="24" customFormat="false" ht="15" hidden="false" customHeight="true" outlineLevel="0" collapsed="false">
      <c r="A24" s="23" t="n">
        <v>23</v>
      </c>
      <c r="B24" s="23" t="n">
        <f aca="false">ROUND(가정!$B$32*(A24+1)^가정!$B$33,0)</f>
        <v>89</v>
      </c>
      <c r="C24" s="47" t="n">
        <f aca="false">IF(B24&gt;=IFERROR(INDEX(가정!$B$42:$B$50,C23),1000000),C23+1,C23)</f>
        <v>3</v>
      </c>
      <c r="D24" s="25" t="n">
        <f aca="false">가정!$B$34^(C24-1)</f>
        <v>6.25</v>
      </c>
      <c r="E24" s="25" t="n">
        <f aca="false">(B24/10)^가정!$B$36</f>
        <v>33.0387806524955</v>
      </c>
      <c r="F24" s="24" t="n">
        <f aca="false">IF(C24&gt;C23,(F23+E24)*가정!$B$35,F23+E24)</f>
        <v>265.20312580273</v>
      </c>
      <c r="G24" s="25" t="n">
        <f aca="false">(1+F24*가정!$B$37)*D24</f>
        <v>39.4003907253412</v>
      </c>
      <c r="H24" s="25" t="n">
        <f aca="false">(1+F24*가정!$B$38)*D24^0.6</f>
        <v>14.9481343738252</v>
      </c>
      <c r="I24" s="48" t="n">
        <f aca="false">가정!$B$5*가정!$B$7*가정!$B$6^(B24-1)/가정!$B$18</f>
        <v>4368.36888446421</v>
      </c>
      <c r="J24" s="48" t="n">
        <f aca="false">(가정!$B$12+가정!$B$15*(LOG(가정!$B$9*가정!$B$7*H24*가정!$B$10^B24/(가정!$B$10-1)*(가정!$B$14-1)/가정!$B$13)/LOG(가정!$B$14)))*G24</f>
        <v>10944.3032299872</v>
      </c>
      <c r="K24" s="49" t="n">
        <f aca="false">IFERROR(J24/I24,0)</f>
        <v>2.50535234533646</v>
      </c>
      <c r="L24" s="25" t="n">
        <f aca="false">A24/가정!$B$39</f>
        <v>7.66666666666667</v>
      </c>
      <c r="M24" s="26" t="str">
        <f aca="false">IF(K24&lt;1,"미달",IF(K24&gt;4,"과잉","적정"))</f>
        <v>적정</v>
      </c>
    </row>
    <row r="25" customFormat="false" ht="15" hidden="false" customHeight="true" outlineLevel="0" collapsed="false">
      <c r="A25" s="23" t="n">
        <v>24</v>
      </c>
      <c r="B25" s="23" t="n">
        <f aca="false">ROUND(가정!$B$32*(A25+1)^가정!$B$33,0)</f>
        <v>90</v>
      </c>
      <c r="C25" s="47" t="n">
        <f aca="false">IF(B25&gt;=IFERROR(INDEX(가정!$B$42:$B$50,C24),1000000),C24+1,C24)</f>
        <v>3</v>
      </c>
      <c r="D25" s="25" t="n">
        <f aca="false">가정!$B$34^(C25-1)</f>
        <v>6.25</v>
      </c>
      <c r="E25" s="25" t="n">
        <f aca="false">(B25/10)^가정!$B$36</f>
        <v>33.634735369619</v>
      </c>
      <c r="F25" s="24" t="n">
        <f aca="false">IF(C25&gt;C24,(F24+E25)*가정!$B$35,F24+E25)</f>
        <v>298.837861172349</v>
      </c>
      <c r="G25" s="25" t="n">
        <f aca="false">(1+F25*가정!$B$37)*D25</f>
        <v>43.6047326465436</v>
      </c>
      <c r="H25" s="25" t="n">
        <f aca="false">(1+F25*가정!$B$38)*D25^0.6</f>
        <v>16.4631157169358</v>
      </c>
      <c r="I25" s="48" t="n">
        <f aca="false">가정!$B$5*가정!$B$7*가정!$B$6^(B25-1)/가정!$B$18</f>
        <v>4761.52208406598</v>
      </c>
      <c r="J25" s="48" t="n">
        <f aca="false">(가정!$B$12+가정!$B$15*(LOG(가정!$B$9*가정!$B$7*H25*가정!$B$10^B25/(가정!$B$10-1)*(가정!$B$14-1)/가정!$B$13)/LOG(가정!$B$14)))*G25</f>
        <v>12307.0588972487</v>
      </c>
      <c r="K25" s="49" t="n">
        <f aca="false">IFERROR(J25/I25,0)</f>
        <v>2.58469008018113</v>
      </c>
      <c r="L25" s="25" t="n">
        <f aca="false">A25/가정!$B$39</f>
        <v>8</v>
      </c>
      <c r="M25" s="26" t="str">
        <f aca="false">IF(K25&lt;1,"미달",IF(K25&gt;4,"과잉","적정"))</f>
        <v>적정</v>
      </c>
    </row>
    <row r="26" customFormat="false" ht="15" hidden="false" customHeight="true" outlineLevel="0" collapsed="false">
      <c r="A26" s="23" t="n">
        <v>25</v>
      </c>
      <c r="B26" s="23" t="n">
        <f aca="false">ROUND(가정!$B$32*(A26+1)^가정!$B$33,0)</f>
        <v>91</v>
      </c>
      <c r="C26" s="47" t="n">
        <f aca="false">IF(B26&gt;=IFERROR(INDEX(가정!$B$42:$B$50,C25),1000000),C25+1,C25)</f>
        <v>3</v>
      </c>
      <c r="D26" s="25" t="n">
        <f aca="false">가정!$B$34^(C26-1)</f>
        <v>6.25</v>
      </c>
      <c r="E26" s="25" t="n">
        <f aca="false">(B26/10)^가정!$B$36</f>
        <v>34.2346764487165</v>
      </c>
      <c r="F26" s="24" t="n">
        <f aca="false">IF(C26&gt;C25,(F25+E26)*가정!$B$35,F25+E26)</f>
        <v>333.072537621065</v>
      </c>
      <c r="G26" s="25" t="n">
        <f aca="false">(1+F26*가정!$B$37)*D26</f>
        <v>47.8840672026332</v>
      </c>
      <c r="H26" s="25" t="n">
        <f aca="false">(1+F26*가정!$B$38)*D26^0.6</f>
        <v>18.0051197058859</v>
      </c>
      <c r="I26" s="48" t="n">
        <f aca="false">가정!$B$5*가정!$B$7*가정!$B$6^(B26-1)/가정!$B$18</f>
        <v>5190.05907163192</v>
      </c>
      <c r="J26" s="48" t="n">
        <f aca="false">(가정!$B$12+가정!$B$15*(LOG(가정!$B$9*가정!$B$7*H26*가정!$B$10^B26/(가정!$B$10-1)*(가정!$B$14-1)/가정!$B$13)/LOG(가정!$B$14)))*G26</f>
        <v>13720.0260214968</v>
      </c>
      <c r="K26" s="49" t="n">
        <f aca="false">IFERROR(J26/I26,0)</f>
        <v>2.64352020509524</v>
      </c>
      <c r="L26" s="25" t="n">
        <f aca="false">A26/가정!$B$39</f>
        <v>8.33333333333333</v>
      </c>
      <c r="M26" s="26" t="str">
        <f aca="false">IF(K26&lt;1,"미달",IF(K26&gt;4,"과잉","적정"))</f>
        <v>적정</v>
      </c>
    </row>
    <row r="27" customFormat="false" ht="15" hidden="false" customHeight="true" outlineLevel="0" collapsed="false">
      <c r="A27" s="23" t="n">
        <v>26</v>
      </c>
      <c r="B27" s="23" t="n">
        <f aca="false">ROUND(가정!$B$32*(A27+1)^가정!$B$33,0)</f>
        <v>91</v>
      </c>
      <c r="C27" s="47" t="n">
        <f aca="false">IF(B27&gt;=IFERROR(INDEX(가정!$B$42:$B$50,C26),1000000),C26+1,C26)</f>
        <v>3</v>
      </c>
      <c r="D27" s="25" t="n">
        <f aca="false">가정!$B$34^(C27-1)</f>
        <v>6.25</v>
      </c>
      <c r="E27" s="25" t="n">
        <f aca="false">(B27/10)^가정!$B$36</f>
        <v>34.2346764487165</v>
      </c>
      <c r="F27" s="24" t="n">
        <f aca="false">IF(C27&gt;C26,(F26+E27)*가정!$B$35,F26+E27)</f>
        <v>367.307214069782</v>
      </c>
      <c r="G27" s="25" t="n">
        <f aca="false">(1+F27*가정!$B$37)*D27</f>
        <v>52.1634017587227</v>
      </c>
      <c r="H27" s="25" t="n">
        <f aca="false">(1+F27*가정!$B$38)*D27^0.6</f>
        <v>19.5471236948359</v>
      </c>
      <c r="I27" s="48" t="n">
        <f aca="false">가정!$B$5*가정!$B$7*가정!$B$6^(B27-1)/가정!$B$18</f>
        <v>5190.05907163192</v>
      </c>
      <c r="J27" s="48" t="n">
        <f aca="false">(가정!$B$12+가정!$B$15*(LOG(가정!$B$9*가정!$B$7*H27*가정!$B$10^B27/(가정!$B$10-1)*(가정!$B$14-1)/가정!$B$13)/LOG(가정!$B$14)))*G27</f>
        <v>15059.6336803358</v>
      </c>
      <c r="K27" s="49" t="n">
        <f aca="false">IFERROR(J27/I27,0)</f>
        <v>2.90163049639445</v>
      </c>
      <c r="L27" s="25" t="n">
        <f aca="false">A27/가정!$B$39</f>
        <v>8.66666666666667</v>
      </c>
      <c r="M27" s="26" t="str">
        <f aca="false">IF(K27&lt;1,"미달",IF(K27&gt;4,"과잉","적정"))</f>
        <v>적정</v>
      </c>
    </row>
    <row r="28" customFormat="false" ht="15" hidden="false" customHeight="true" outlineLevel="0" collapsed="false">
      <c r="A28" s="23" t="n">
        <v>27</v>
      </c>
      <c r="B28" s="23" t="n">
        <f aca="false">ROUND(가정!$B$32*(A28+1)^가정!$B$33,0)</f>
        <v>92</v>
      </c>
      <c r="C28" s="47" t="n">
        <f aca="false">IF(B28&gt;=IFERROR(INDEX(가정!$B$42:$B$50,C27),1000000),C27+1,C27)</f>
        <v>3</v>
      </c>
      <c r="D28" s="25" t="n">
        <f aca="false">가정!$B$34^(C28-1)</f>
        <v>6.25</v>
      </c>
      <c r="E28" s="25" t="n">
        <f aca="false">(B28/10)^가정!$B$36</f>
        <v>34.8385863087108</v>
      </c>
      <c r="F28" s="24" t="n">
        <f aca="false">IF(C28&gt;C27,(F27+E28)*가정!$B$35,F27+E28)</f>
        <v>402.145800378493</v>
      </c>
      <c r="G28" s="25" t="n">
        <f aca="false">(1+F28*가정!$B$37)*D28</f>
        <v>56.5182250473116</v>
      </c>
      <c r="H28" s="25" t="n">
        <f aca="false">(1+F28*가정!$B$38)*D28^0.6</f>
        <v>21.1163290921146</v>
      </c>
      <c r="I28" s="48" t="n">
        <f aca="false">가정!$B$5*가정!$B$7*가정!$B$6^(B28-1)/가정!$B$18</f>
        <v>5657.1643880788</v>
      </c>
      <c r="J28" s="48" t="n">
        <f aca="false">(가정!$B$12+가정!$B$15*(LOG(가정!$B$9*가정!$B$7*H28*가정!$B$10^B28/(가정!$B$10-1)*(가정!$B$14-1)/가정!$B$13)/LOG(가정!$B$14)))*G28</f>
        <v>16540.6064397764</v>
      </c>
      <c r="K28" s="49" t="n">
        <f aca="false">IFERROR(J28/I28,0)</f>
        <v>2.92383344465507</v>
      </c>
      <c r="L28" s="25" t="n">
        <f aca="false">A28/가정!$B$39</f>
        <v>9</v>
      </c>
      <c r="M28" s="26" t="str">
        <f aca="false">IF(K28&lt;1,"미달",IF(K28&gt;4,"과잉","적정"))</f>
        <v>적정</v>
      </c>
    </row>
    <row r="29" customFormat="false" ht="15" hidden="false" customHeight="true" outlineLevel="0" collapsed="false">
      <c r="A29" s="23" t="n">
        <v>28</v>
      </c>
      <c r="B29" s="23" t="n">
        <f aca="false">ROUND(가정!$B$32*(A29+1)^가정!$B$33,0)</f>
        <v>93</v>
      </c>
      <c r="C29" s="47" t="n">
        <f aca="false">IF(B29&gt;=IFERROR(INDEX(가정!$B$42:$B$50,C28),1000000),C28+1,C28)</f>
        <v>3</v>
      </c>
      <c r="D29" s="25" t="n">
        <f aca="false">가정!$B$34^(C29-1)</f>
        <v>6.25</v>
      </c>
      <c r="E29" s="25" t="n">
        <f aca="false">(B29/10)^가정!$B$36</f>
        <v>35.4464476369544</v>
      </c>
      <c r="F29" s="24" t="n">
        <f aca="false">IF(C29&gt;C28,(F28+E29)*가정!$B$35,F28+E29)</f>
        <v>437.592248015447</v>
      </c>
      <c r="G29" s="25" t="n">
        <f aca="false">(1+F29*가정!$B$37)*D29</f>
        <v>60.9490310019309</v>
      </c>
      <c r="H29" s="25" t="n">
        <f aca="false">(1+F29*가정!$B$38)*D29^0.6</f>
        <v>22.7129138804117</v>
      </c>
      <c r="I29" s="48" t="n">
        <f aca="false">가정!$B$5*가정!$B$7*가정!$B$6^(B29-1)/가정!$B$18</f>
        <v>6166.30918300589</v>
      </c>
      <c r="J29" s="48" t="n">
        <f aca="false">(가정!$B$12+가정!$B$15*(LOG(가정!$B$9*가정!$B$7*H29*가정!$B$10^B29/(가정!$B$10-1)*(가정!$B$14-1)/가정!$B$13)/LOG(가정!$B$14)))*G29</f>
        <v>18071.6061557457</v>
      </c>
      <c r="K29" s="49" t="n">
        <f aca="false">IFERROR(J29/I29,0)</f>
        <v>2.93070062162149</v>
      </c>
      <c r="L29" s="25" t="n">
        <f aca="false">A29/가정!$B$39</f>
        <v>9.33333333333333</v>
      </c>
      <c r="M29" s="26" t="str">
        <f aca="false">IF(K29&lt;1,"미달",IF(K29&gt;4,"과잉","적정"))</f>
        <v>적정</v>
      </c>
    </row>
    <row r="30" customFormat="false" ht="15" hidden="false" customHeight="true" outlineLevel="0" collapsed="false">
      <c r="A30" s="23" t="n">
        <v>29</v>
      </c>
      <c r="B30" s="23" t="n">
        <f aca="false">ROUND(가정!$B$32*(A30+1)^가정!$B$33,0)</f>
        <v>94</v>
      </c>
      <c r="C30" s="47" t="n">
        <f aca="false">IF(B30&gt;=IFERROR(INDEX(가정!$B$42:$B$50,C29),1000000),C29+1,C29)</f>
        <v>3</v>
      </c>
      <c r="D30" s="25" t="n">
        <f aca="false">가정!$B$34^(C30-1)</f>
        <v>6.25</v>
      </c>
      <c r="E30" s="25" t="n">
        <f aca="false">(B30/10)^가정!$B$36</f>
        <v>36.0582433822801</v>
      </c>
      <c r="F30" s="24" t="n">
        <f aca="false">IF(C30&gt;C29,(F29+E30)*가정!$B$35,F29+E30)</f>
        <v>473.650491397727</v>
      </c>
      <c r="G30" s="25" t="n">
        <f aca="false">(1+F30*가정!$B$37)*D30</f>
        <v>65.4563114247159</v>
      </c>
      <c r="H30" s="25" t="n">
        <f aca="false">(1+F30*가정!$B$38)*D30^0.6</f>
        <v>24.3370552743956</v>
      </c>
      <c r="I30" s="48" t="n">
        <f aca="false">가정!$B$5*가정!$B$7*가정!$B$6^(B30-1)/가정!$B$18</f>
        <v>6721.27700947642</v>
      </c>
      <c r="J30" s="48" t="n">
        <f aca="false">(가정!$B$12+가정!$B$15*(LOG(가정!$B$9*가정!$B$7*H30*가정!$B$10^B30/(가정!$B$10-1)*(가정!$B$14-1)/가정!$B$13)/LOG(가정!$B$14)))*G30</f>
        <v>19653.0177808212</v>
      </c>
      <c r="K30" s="49" t="n">
        <f aca="false">IFERROR(J30/I30,0)</f>
        <v>2.92400056612934</v>
      </c>
      <c r="L30" s="25" t="n">
        <f aca="false">A30/가정!$B$39</f>
        <v>9.66666666666667</v>
      </c>
      <c r="M30" s="26" t="str">
        <f aca="false">IF(K30&lt;1,"미달",IF(K30&gt;4,"과잉","적정"))</f>
        <v>적정</v>
      </c>
    </row>
    <row r="31" customFormat="false" ht="15" hidden="false" customHeight="true" outlineLevel="0" collapsed="false">
      <c r="A31" s="27" t="n">
        <v>30</v>
      </c>
      <c r="B31" s="27" t="n">
        <f aca="false">ROUND(가정!$B$32*(A31+1)^가정!$B$33,0)</f>
        <v>95</v>
      </c>
      <c r="C31" s="50" t="n">
        <f aca="false">IF(B31&gt;=IFERROR(INDEX(가정!$B$42:$B$50,C30),1000000),C30+1,C30)</f>
        <v>3</v>
      </c>
      <c r="D31" s="29" t="n">
        <f aca="false">가정!$B$34^(C31-1)</f>
        <v>6.25</v>
      </c>
      <c r="E31" s="29" t="n">
        <f aca="false">(B31/10)^가정!$B$36</f>
        <v>36.6739567483023</v>
      </c>
      <c r="F31" s="28" t="n">
        <f aca="false">IF(C31&gt;C30,(F30+E31)*가정!$B$35,F30+E31)</f>
        <v>510.324448146029</v>
      </c>
      <c r="G31" s="29" t="n">
        <f aca="false">(1+F31*가정!$B$37)*D31</f>
        <v>70.0405560182537</v>
      </c>
      <c r="H31" s="29" t="n">
        <f aca="false">(1+F31*가정!$B$38)*D31^0.6</f>
        <v>25.9889297321893</v>
      </c>
      <c r="I31" s="51" t="n">
        <f aca="false">가정!$B$5*가정!$B$7*가정!$B$6^(B31-1)/가정!$B$18</f>
        <v>7326.1919403293</v>
      </c>
      <c r="J31" s="51" t="n">
        <f aca="false">(가정!$B$12+가정!$B$15*(LOG(가정!$B$9*가정!$B$7*H31*가정!$B$10^B31/(가정!$B$10-1)*(가정!$B$14-1)/가정!$B$13)/LOG(가정!$B$14)))*G31</f>
        <v>21285.2686990843</v>
      </c>
      <c r="K31" s="52" t="n">
        <f aca="false">IFERROR(J31/I31,0)</f>
        <v>2.90536596262418</v>
      </c>
      <c r="L31" s="29" t="n">
        <f aca="false">A31/가정!$B$39</f>
        <v>10</v>
      </c>
      <c r="M31" s="30" t="str">
        <f aca="false">IF(K31&lt;1,"미달",IF(K31&gt;4,"과잉","적정"))</f>
        <v>적정</v>
      </c>
    </row>
    <row r="32" customFormat="false" ht="15" hidden="false" customHeight="true" outlineLevel="0" collapsed="false">
      <c r="A32" s="23" t="n">
        <v>31</v>
      </c>
      <c r="B32" s="23" t="n">
        <f aca="false">ROUND(가정!$B$32*(A32+1)^가정!$B$33,0)</f>
        <v>96</v>
      </c>
      <c r="C32" s="47" t="n">
        <f aca="false">IF(B32&gt;=IFERROR(INDEX(가정!$B$42:$B$50,C31),1000000),C31+1,C31)</f>
        <v>3</v>
      </c>
      <c r="D32" s="25" t="n">
        <f aca="false">가정!$B$34^(C32-1)</f>
        <v>6.25</v>
      </c>
      <c r="E32" s="25" t="n">
        <f aca="false">(B32/10)^가정!$B$36</f>
        <v>37.2935711869597</v>
      </c>
      <c r="F32" s="24" t="n">
        <f aca="false">IF(C32&gt;C31,(F31+E32)*가정!$B$35,F31+E32)</f>
        <v>547.618019332989</v>
      </c>
      <c r="G32" s="25" t="n">
        <f aca="false">(1+F32*가정!$B$37)*D32</f>
        <v>74.7022524166236</v>
      </c>
      <c r="H32" s="25" t="n">
        <f aca="false">(1+F32*가정!$B$38)*D32^0.6</f>
        <v>27.6687129665549</v>
      </c>
      <c r="I32" s="48" t="n">
        <f aca="false">가정!$B$5*가정!$B$7*가정!$B$6^(B32-1)/가정!$B$18</f>
        <v>7985.54921495893</v>
      </c>
      <c r="J32" s="48" t="n">
        <f aca="false">(가정!$B$12+가정!$B$15*(LOG(가정!$B$9*가정!$B$7*H32*가정!$B$10^B32/(가정!$B$10-1)*(가정!$B$14-1)/가정!$B$13)/LOG(가정!$B$14)))*G32</f>
        <v>22968.8217535859</v>
      </c>
      <c r="K32" s="49" t="n">
        <f aca="false">IFERROR(J32/I32,0)</f>
        <v>2.87629831528175</v>
      </c>
      <c r="L32" s="25" t="n">
        <f aca="false">A32/가정!$B$39</f>
        <v>10.3333333333333</v>
      </c>
      <c r="M32" s="26" t="str">
        <f aca="false">IF(K32&lt;1,"미달",IF(K32&gt;4,"과잉","적정"))</f>
        <v>적정</v>
      </c>
    </row>
    <row r="33" customFormat="false" ht="15" hidden="false" customHeight="true" outlineLevel="0" collapsed="false">
      <c r="A33" s="23" t="n">
        <v>32</v>
      </c>
      <c r="B33" s="23" t="n">
        <f aca="false">ROUND(가정!$B$32*(A33+1)^가정!$B$33,0)</f>
        <v>97</v>
      </c>
      <c r="C33" s="47" t="n">
        <f aca="false">IF(B33&gt;=IFERROR(INDEX(가정!$B$42:$B$50,C32),1000000),C32+1,C32)</f>
        <v>3</v>
      </c>
      <c r="D33" s="25" t="n">
        <f aca="false">가정!$B$34^(C33-1)</f>
        <v>6.25</v>
      </c>
      <c r="E33" s="25" t="n">
        <f aca="false">(B33/10)^가정!$B$36</f>
        <v>37.9170703922873</v>
      </c>
      <c r="F33" s="24" t="n">
        <f aca="false">IF(C33&gt;C32,(F32+E33)*가정!$B$35,F32+E33)</f>
        <v>585.535089725276</v>
      </c>
      <c r="G33" s="25" t="n">
        <f aca="false">(1+F33*가정!$B$37)*D33</f>
        <v>79.4418862156595</v>
      </c>
      <c r="H33" s="25" t="n">
        <f aca="false">(1+F33*가정!$B$38)*D33^0.6</f>
        <v>29.3765799557988</v>
      </c>
      <c r="I33" s="48" t="n">
        <f aca="false">가정!$B$5*가정!$B$7*가정!$B$6^(B33-1)/가정!$B$18</f>
        <v>8704.24864430524</v>
      </c>
      <c r="J33" s="48" t="n">
        <f aca="false">(가정!$B$12+가정!$B$15*(LOG(가정!$B$9*가정!$B$7*H33*가정!$B$10^B33/(가정!$B$10-1)*(가정!$B$14-1)/가정!$B$13)/LOG(가정!$B$14)))*G33</f>
        <v>24704.1697975992</v>
      </c>
      <c r="K33" s="49" t="n">
        <f aca="false">IFERROR(J33/I33,0)</f>
        <v>2.83817372493856</v>
      </c>
      <c r="L33" s="25" t="n">
        <f aca="false">A33/가정!$B$39</f>
        <v>10.6666666666667</v>
      </c>
      <c r="M33" s="26" t="str">
        <f aca="false">IF(K33&lt;1,"미달",IF(K33&gt;4,"과잉","적정"))</f>
        <v>적정</v>
      </c>
    </row>
    <row r="34" customFormat="false" ht="15" hidden="false" customHeight="true" outlineLevel="0" collapsed="false">
      <c r="A34" s="23" t="n">
        <v>33</v>
      </c>
      <c r="B34" s="23" t="n">
        <f aca="false">ROUND(가정!$B$32*(A34+1)^가정!$B$33,0)</f>
        <v>97</v>
      </c>
      <c r="C34" s="47" t="n">
        <f aca="false">IF(B34&gt;=IFERROR(INDEX(가정!$B$42:$B$50,C33),1000000),C33+1,C33)</f>
        <v>3</v>
      </c>
      <c r="D34" s="25" t="n">
        <f aca="false">가정!$B$34^(C34-1)</f>
        <v>6.25</v>
      </c>
      <c r="E34" s="25" t="n">
        <f aca="false">(B34/10)^가정!$B$36</f>
        <v>37.9170703922873</v>
      </c>
      <c r="F34" s="24" t="n">
        <f aca="false">IF(C34&gt;C33,(F33+E34)*가정!$B$35,F33+E34)</f>
        <v>623.452160117564</v>
      </c>
      <c r="G34" s="25" t="n">
        <f aca="false">(1+F34*가정!$B$37)*D34</f>
        <v>84.1815200146955</v>
      </c>
      <c r="H34" s="25" t="n">
        <f aca="false">(1+F34*가정!$B$38)*D34^0.6</f>
        <v>31.0844469450427</v>
      </c>
      <c r="I34" s="48" t="n">
        <f aca="false">가정!$B$5*가정!$B$7*가정!$B$6^(B34-1)/가정!$B$18</f>
        <v>8704.24864430524</v>
      </c>
      <c r="J34" s="48" t="n">
        <f aca="false">(가정!$B$12+가정!$B$15*(LOG(가정!$B$9*가정!$B$7*H34*가정!$B$10^B34/(가정!$B$10-1)*(가정!$B$14-1)/가정!$B$13)/LOG(가정!$B$14)))*G34</f>
        <v>26303.9892441341</v>
      </c>
      <c r="K34" s="49" t="n">
        <f aca="false">IFERROR(J34/I34,0)</f>
        <v>3.02197126013209</v>
      </c>
      <c r="L34" s="25" t="n">
        <f aca="false">A34/가정!$B$39</f>
        <v>11</v>
      </c>
      <c r="M34" s="26" t="str">
        <f aca="false">IF(K34&lt;1,"미달",IF(K34&gt;4,"과잉","적정"))</f>
        <v>적정</v>
      </c>
    </row>
    <row r="35" customFormat="false" ht="15" hidden="false" customHeight="true" outlineLevel="0" collapsed="false">
      <c r="A35" s="23" t="n">
        <v>34</v>
      </c>
      <c r="B35" s="23" t="n">
        <f aca="false">ROUND(가정!$B$32*(A35+1)^가정!$B$33,0)</f>
        <v>98</v>
      </c>
      <c r="C35" s="47" t="n">
        <f aca="false">IF(B35&gt;=IFERROR(INDEX(가정!$B$42:$B$50,C34),1000000),C34+1,C34)</f>
        <v>3</v>
      </c>
      <c r="D35" s="25" t="n">
        <f aca="false">가정!$B$34^(C35-1)</f>
        <v>6.25</v>
      </c>
      <c r="E35" s="25" t="n">
        <f aca="false">(B35/10)^가정!$B$36</f>
        <v>38.5444382944074</v>
      </c>
      <c r="F35" s="24" t="n">
        <f aca="false">IF(C35&gt;C34,(F34+E35)*가정!$B$35,F34+E35)</f>
        <v>661.996598411971</v>
      </c>
      <c r="G35" s="25" t="n">
        <f aca="false">(1+F35*가정!$B$37)*D35</f>
        <v>88.9995748014964</v>
      </c>
      <c r="H35" s="25" t="n">
        <f aca="false">(1+F35*가정!$B$38)*D35^0.6</f>
        <v>32.820571943649</v>
      </c>
      <c r="I35" s="48" t="n">
        <f aca="false">가정!$B$5*가정!$B$7*가정!$B$6^(B35-1)/가정!$B$18</f>
        <v>9487.63102229271</v>
      </c>
      <c r="J35" s="48" t="n">
        <f aca="false">(가정!$B$12+가정!$B$15*(LOG(가정!$B$9*가정!$B$7*H35*가정!$B$10^B35/(가정!$B$10-1)*(가정!$B$14-1)/가정!$B$13)/LOG(가정!$B$14)))*G35</f>
        <v>28107.9018669451</v>
      </c>
      <c r="K35" s="49" t="n">
        <f aca="false">IFERROR(J35/I35,0)</f>
        <v>2.96258378945187</v>
      </c>
      <c r="L35" s="25" t="n">
        <f aca="false">A35/가정!$B$39</f>
        <v>11.3333333333333</v>
      </c>
      <c r="M35" s="26" t="str">
        <f aca="false">IF(K35&lt;1,"미달",IF(K35&gt;4,"과잉","적정"))</f>
        <v>적정</v>
      </c>
    </row>
    <row r="36" customFormat="false" ht="15" hidden="false" customHeight="true" outlineLevel="0" collapsed="false">
      <c r="A36" s="23" t="n">
        <v>35</v>
      </c>
      <c r="B36" s="23" t="n">
        <f aca="false">ROUND(가정!$B$32*(A36+1)^가정!$B$33,0)</f>
        <v>99</v>
      </c>
      <c r="C36" s="47" t="n">
        <f aca="false">IF(B36&gt;=IFERROR(INDEX(가정!$B$42:$B$50,C35),1000000),C35+1,C35)</f>
        <v>3</v>
      </c>
      <c r="D36" s="25" t="n">
        <f aca="false">가정!$B$34^(C36-1)</f>
        <v>6.25</v>
      </c>
      <c r="E36" s="25" t="n">
        <f aca="false">(B36/10)^가정!$B$36</f>
        <v>39.1756590537293</v>
      </c>
      <c r="F36" s="24" t="n">
        <f aca="false">IF(C36&gt;C35,(F35+E36)*가정!$B$35,F35+E36)</f>
        <v>701.1722574657</v>
      </c>
      <c r="G36" s="25" t="n">
        <f aca="false">(1+F36*가정!$B$37)*D36</f>
        <v>93.8965321832125</v>
      </c>
      <c r="H36" s="25" t="n">
        <f aca="false">(1+F36*가정!$B$38)*D36^0.6</f>
        <v>34.5851284926525</v>
      </c>
      <c r="I36" s="48" t="n">
        <f aca="false">가정!$B$5*가정!$B$7*가정!$B$6^(B36-1)/가정!$B$18</f>
        <v>10341.5178142991</v>
      </c>
      <c r="J36" s="48" t="n">
        <f aca="false">(가정!$B$12+가정!$B$15*(LOG(가정!$B$9*가정!$B$7*H36*가정!$B$10^B36/(가정!$B$10-1)*(가정!$B$14-1)/가정!$B$13)/LOG(가정!$B$14)))*G36</f>
        <v>29964.3886310725</v>
      </c>
      <c r="K36" s="49" t="n">
        <f aca="false">IFERROR(J36/I36,0)</f>
        <v>2.89748460227388</v>
      </c>
      <c r="L36" s="25" t="n">
        <f aca="false">A36/가정!$B$39</f>
        <v>11.6666666666667</v>
      </c>
      <c r="M36" s="26" t="str">
        <f aca="false">IF(K36&lt;1,"미달",IF(K36&gt;4,"과잉","적정"))</f>
        <v>적정</v>
      </c>
    </row>
    <row r="37" customFormat="false" ht="15" hidden="false" customHeight="true" outlineLevel="0" collapsed="false">
      <c r="A37" s="23" t="n">
        <v>36</v>
      </c>
      <c r="B37" s="23" t="n">
        <f aca="false">ROUND(가정!$B$32*(A37+1)^가정!$B$33,0)</f>
        <v>100</v>
      </c>
      <c r="C37" s="47" t="n">
        <f aca="false">IF(B37&gt;=IFERROR(INDEX(가정!$B$42:$B$50,C36),1000000),C36+1,C36)</f>
        <v>4</v>
      </c>
      <c r="D37" s="25" t="n">
        <f aca="false">가정!$B$34^(C37-1)</f>
        <v>15.625</v>
      </c>
      <c r="E37" s="25" t="n">
        <f aca="false">(B37/10)^가정!$B$36</f>
        <v>39.8107170553497</v>
      </c>
      <c r="F37" s="24" t="n">
        <f aca="false">IF(C37&gt;C36,(F36+E37)*가정!$B$35,F36+E37)</f>
        <v>111.147446178158</v>
      </c>
      <c r="G37" s="25" t="n">
        <f aca="false">(1+F37*가정!$B$37)*D37</f>
        <v>50.3585769306742</v>
      </c>
      <c r="H37" s="25" t="n">
        <f aca="false">(1+F37*가정!$B$38)*D37^0.6</f>
        <v>13.8787228097135</v>
      </c>
      <c r="I37" s="48" t="n">
        <f aca="false">가정!$B$5*가정!$B$7*가정!$B$6^(B37-1)/가정!$B$18</f>
        <v>11272.254417586</v>
      </c>
      <c r="J37" s="48" t="n">
        <f aca="false">(가정!$B$12+가정!$B$15*(LOG(가정!$B$9*가정!$B$7*H37*가정!$B$10^B37/(가정!$B$10-1)*(가정!$B$14-1)/가정!$B$13)/LOG(가정!$B$14)))*G37</f>
        <v>14949.718922859</v>
      </c>
      <c r="K37" s="49" t="n">
        <f aca="false">IFERROR(J37/I37,0)</f>
        <v>1.32624037473247</v>
      </c>
      <c r="L37" s="25" t="n">
        <f aca="false">A37/가정!$B$39</f>
        <v>12</v>
      </c>
      <c r="M37" s="26" t="str">
        <f aca="false">IF(K37&lt;1,"미달",IF(K37&gt;4,"과잉","적정"))</f>
        <v>적정</v>
      </c>
    </row>
    <row r="38" customFormat="false" ht="15" hidden="false" customHeight="true" outlineLevel="0" collapsed="false">
      <c r="A38" s="23" t="n">
        <v>37</v>
      </c>
      <c r="B38" s="23" t="n">
        <f aca="false">ROUND(가정!$B$32*(A38+1)^가정!$B$33,0)</f>
        <v>100</v>
      </c>
      <c r="C38" s="47" t="n">
        <f aca="false">IF(B38&gt;=IFERROR(INDEX(가정!$B$42:$B$50,C37),1000000),C37+1,C37)</f>
        <v>4</v>
      </c>
      <c r="D38" s="25" t="n">
        <f aca="false">가정!$B$34^(C38-1)</f>
        <v>15.625</v>
      </c>
      <c r="E38" s="25" t="n">
        <f aca="false">(B38/10)^가정!$B$36</f>
        <v>39.8107170553497</v>
      </c>
      <c r="F38" s="24" t="n">
        <f aca="false">IF(C38&gt;C37,(F37+E38)*가정!$B$35,F37+E38)</f>
        <v>150.958163233507</v>
      </c>
      <c r="G38" s="25" t="n">
        <f aca="false">(1+F38*가정!$B$37)*D38</f>
        <v>62.799426010471</v>
      </c>
      <c r="H38" s="25" t="n">
        <f aca="false">(1+F38*가정!$B$38)*D38^0.6</f>
        <v>16.9860234509697</v>
      </c>
      <c r="I38" s="48" t="n">
        <f aca="false">가정!$B$5*가정!$B$7*가정!$B$6^(B38-1)/가정!$B$18</f>
        <v>11272.254417586</v>
      </c>
      <c r="J38" s="48" t="n">
        <f aca="false">(가정!$B$12+가정!$B$15*(LOG(가정!$B$9*가정!$B$7*H38*가정!$B$10^B38/(가정!$B$10-1)*(가정!$B$14-1)/가정!$B$13)/LOG(가정!$B$14)))*G38</f>
        <v>18978.8389101609</v>
      </c>
      <c r="K38" s="49" t="n">
        <f aca="false">IFERROR(J38/I38,0)</f>
        <v>1.68367730243489</v>
      </c>
      <c r="L38" s="25" t="n">
        <f aca="false">A38/가정!$B$39</f>
        <v>12.3333333333333</v>
      </c>
      <c r="M38" s="26" t="str">
        <f aca="false">IF(K38&lt;1,"미달",IF(K38&gt;4,"과잉","적정"))</f>
        <v>적정</v>
      </c>
    </row>
    <row r="39" customFormat="false" ht="15" hidden="false" customHeight="true" outlineLevel="0" collapsed="false">
      <c r="A39" s="23" t="n">
        <v>38</v>
      </c>
      <c r="B39" s="23" t="n">
        <f aca="false">ROUND(가정!$B$32*(A39+1)^가정!$B$33,0)</f>
        <v>101</v>
      </c>
      <c r="C39" s="47" t="n">
        <f aca="false">IF(B39&gt;=IFERROR(INDEX(가정!$B$42:$B$50,C38),1000000),C38+1,C38)</f>
        <v>4</v>
      </c>
      <c r="D39" s="25" t="n">
        <f aca="false">가정!$B$34^(C39-1)</f>
        <v>15.625</v>
      </c>
      <c r="E39" s="25" t="n">
        <f aca="false">(B39/10)^가정!$B$36</f>
        <v>40.4495969036431</v>
      </c>
      <c r="F39" s="24" t="n">
        <f aca="false">IF(C39&gt;C38,(F38+E39)*가정!$B$35,F38+E39)</f>
        <v>191.40776013715</v>
      </c>
      <c r="G39" s="25" t="n">
        <f aca="false">(1+F39*가정!$B$37)*D39</f>
        <v>75.4399250428595</v>
      </c>
      <c r="H39" s="25" t="n">
        <f aca="false">(1+F39*가정!$B$38)*D39^0.6</f>
        <v>20.1431898547423</v>
      </c>
      <c r="I39" s="48" t="n">
        <f aca="false">가정!$B$5*가정!$B$7*가정!$B$6^(B39-1)/가정!$B$18</f>
        <v>12286.7573151687</v>
      </c>
      <c r="J39" s="48" t="n">
        <f aca="false">(가정!$B$12+가정!$B$15*(LOG(가정!$B$9*가정!$B$7*H39*가정!$B$10^B39/(가정!$B$10-1)*(가정!$B$14-1)/가정!$B$13)/LOG(가정!$B$14)))*G39</f>
        <v>23283.8381480798</v>
      </c>
      <c r="K39" s="49" t="n">
        <f aca="false">IFERROR(J39/I39,0)</f>
        <v>1.89503524411071</v>
      </c>
      <c r="L39" s="25" t="n">
        <f aca="false">A39/가정!$B$39</f>
        <v>12.6666666666667</v>
      </c>
      <c r="M39" s="26" t="str">
        <f aca="false">IF(K39&lt;1,"미달",IF(K39&gt;4,"과잉","적정"))</f>
        <v>적정</v>
      </c>
    </row>
    <row r="40" customFormat="false" ht="15" hidden="false" customHeight="true" outlineLevel="0" collapsed="false">
      <c r="A40" s="23" t="n">
        <v>39</v>
      </c>
      <c r="B40" s="23" t="n">
        <f aca="false">ROUND(가정!$B$32*(A40+1)^가정!$B$33,0)</f>
        <v>102</v>
      </c>
      <c r="C40" s="47" t="n">
        <f aca="false">IF(B40&gt;=IFERROR(INDEX(가정!$B$42:$B$50,C39),1000000),C39+1,C39)</f>
        <v>4</v>
      </c>
      <c r="D40" s="25" t="n">
        <f aca="false">가정!$B$34^(C40-1)</f>
        <v>15.625</v>
      </c>
      <c r="E40" s="25" t="n">
        <f aca="false">(B40/10)^가정!$B$36</f>
        <v>41.0922834170356</v>
      </c>
      <c r="F40" s="24" t="n">
        <f aca="false">IF(C40&gt;C39,(F39+E40)*가정!$B$35,F39+E40)</f>
        <v>232.500043554186</v>
      </c>
      <c r="G40" s="25" t="n">
        <f aca="false">(1+F40*가정!$B$37)*D40</f>
        <v>88.2812636106831</v>
      </c>
      <c r="H40" s="25" t="n">
        <f aca="false">(1+F40*가정!$B$38)*D40^0.6</f>
        <v>23.3505191383348</v>
      </c>
      <c r="I40" s="48" t="n">
        <f aca="false">가정!$B$5*가정!$B$7*가정!$B$6^(B40-1)/가정!$B$18</f>
        <v>13392.5654735339</v>
      </c>
      <c r="J40" s="48" t="n">
        <f aca="false">(가정!$B$12+가정!$B$15*(LOG(가정!$B$9*가정!$B$7*H40*가정!$B$10^B40/(가정!$B$10-1)*(가정!$B$14-1)/가정!$B$13)/LOG(가정!$B$14)))*G40</f>
        <v>27761.5007088851</v>
      </c>
      <c r="K40" s="49" t="n">
        <f aca="false">IFERROR(J40/I40,0)</f>
        <v>2.07290386324762</v>
      </c>
      <c r="L40" s="25" t="n">
        <f aca="false">A40/가정!$B$39</f>
        <v>13</v>
      </c>
      <c r="M40" s="26" t="str">
        <f aca="false">IF(K40&lt;1,"미달",IF(K40&gt;4,"과잉","적정"))</f>
        <v>적정</v>
      </c>
      <c r="O40" s="53" t="s">
        <v>149</v>
      </c>
      <c r="P40" s="54"/>
      <c r="Q40" s="54"/>
      <c r="R40" s="54"/>
    </row>
    <row r="41" customFormat="false" ht="15" hidden="false" customHeight="true" outlineLevel="0" collapsed="false">
      <c r="A41" s="23" t="n">
        <v>40</v>
      </c>
      <c r="B41" s="23" t="n">
        <f aca="false">ROUND(가정!$B$32*(A41+1)^가정!$B$33,0)</f>
        <v>102</v>
      </c>
      <c r="C41" s="47" t="n">
        <f aca="false">IF(B41&gt;=IFERROR(INDEX(가정!$B$42:$B$50,C40),1000000),C40+1,C40)</f>
        <v>4</v>
      </c>
      <c r="D41" s="25" t="n">
        <f aca="false">가정!$B$34^(C41-1)</f>
        <v>15.625</v>
      </c>
      <c r="E41" s="25" t="n">
        <f aca="false">(B41/10)^가정!$B$36</f>
        <v>41.0922834170356</v>
      </c>
      <c r="F41" s="24" t="n">
        <f aca="false">IF(C41&gt;C40,(F40+E41)*가정!$B$35,F40+E41)</f>
        <v>273.592326971222</v>
      </c>
      <c r="G41" s="25" t="n">
        <f aca="false">(1+F41*가정!$B$37)*D41</f>
        <v>101.122602178507</v>
      </c>
      <c r="H41" s="25" t="n">
        <f aca="false">(1+F41*가정!$B$38)*D41^0.6</f>
        <v>26.5578484219273</v>
      </c>
      <c r="I41" s="48" t="n">
        <f aca="false">가정!$B$5*가정!$B$7*가정!$B$6^(B41-1)/가정!$B$18</f>
        <v>13392.5654735339</v>
      </c>
      <c r="J41" s="48" t="n">
        <f aca="false">(가정!$B$12+가정!$B$15*(LOG(가정!$B$9*가정!$B$7*H41*가정!$B$10^B41/(가정!$B$10-1)*(가정!$B$14-1)/가정!$B$13)/LOG(가정!$B$14)))*G41</f>
        <v>32144.2029697032</v>
      </c>
      <c r="K41" s="49" t="n">
        <f aca="false">IFERROR(J41/I41,0)</f>
        <v>2.40015275887401</v>
      </c>
      <c r="L41" s="25" t="n">
        <f aca="false">A41/가정!$B$39</f>
        <v>13.3333333333333</v>
      </c>
      <c r="M41" s="26" t="str">
        <f aca="false">IF(K41&lt;1,"미달",IF(K41&gt;4,"과잉","적정"))</f>
        <v>적정</v>
      </c>
      <c r="O41" s="11" t="s">
        <v>150</v>
      </c>
      <c r="P41" s="55" t="n">
        <f aca="false">MIN(K2:K301)</f>
        <v>1.01939761155199</v>
      </c>
      <c r="Q41" s="14" t="s">
        <v>151</v>
      </c>
    </row>
    <row r="42" customFormat="false" ht="15" hidden="false" customHeight="true" outlineLevel="0" collapsed="false">
      <c r="A42" s="23" t="n">
        <v>41</v>
      </c>
      <c r="B42" s="23" t="n">
        <f aca="false">ROUND(가정!$B$32*(A42+1)^가정!$B$33,0)</f>
        <v>103</v>
      </c>
      <c r="C42" s="47" t="n">
        <f aca="false">IF(B42&gt;=IFERROR(INDEX(가정!$B$42:$B$50,C41),1000000),C41+1,C41)</f>
        <v>4</v>
      </c>
      <c r="D42" s="25" t="n">
        <f aca="false">가정!$B$34^(C42-1)</f>
        <v>15.625</v>
      </c>
      <c r="E42" s="25" t="n">
        <f aca="false">(B42/10)^가정!$B$36</f>
        <v>41.7387616229531</v>
      </c>
      <c r="F42" s="24" t="n">
        <f aca="false">IF(C42&gt;C41,(F41+E42)*가정!$B$35,F41+E42)</f>
        <v>315.331088594175</v>
      </c>
      <c r="G42" s="25" t="n">
        <f aca="false">(1+F42*가정!$B$37)*D42</f>
        <v>114.16596518568</v>
      </c>
      <c r="H42" s="25" t="n">
        <f aca="false">(1+F42*가정!$B$38)*D42^0.6</f>
        <v>29.8156365340059</v>
      </c>
      <c r="I42" s="48" t="n">
        <f aca="false">가정!$B$5*가정!$B$7*가정!$B$6^(B42-1)/가정!$B$18</f>
        <v>14597.8963661519</v>
      </c>
      <c r="J42" s="48" t="n">
        <f aca="false">(가정!$B$12+가정!$B$15*(LOG(가정!$B$9*가정!$B$7*H42*가정!$B$10^B42/(가정!$B$10-1)*(가정!$B$14-1)/가정!$B$13)/LOG(가정!$B$14)))*G42</f>
        <v>36858.5958442399</v>
      </c>
      <c r="K42" s="49" t="n">
        <f aca="false">IFERROR(J42/I42,0)</f>
        <v>2.52492516179959</v>
      </c>
      <c r="L42" s="25" t="n">
        <f aca="false">A42/가정!$B$39</f>
        <v>13.6666666666667</v>
      </c>
      <c r="M42" s="26" t="str">
        <f aca="false">IF(K42&lt;1,"미달",IF(K42&gt;4,"과잉","적정"))</f>
        <v>적정</v>
      </c>
      <c r="O42" s="11" t="s">
        <v>152</v>
      </c>
      <c r="P42" s="55" t="n">
        <f aca="false">MAX(K2:K301)</f>
        <v>4.00545325855682</v>
      </c>
      <c r="Q42" s="14" t="s">
        <v>153</v>
      </c>
    </row>
    <row r="43" customFormat="false" ht="15" hidden="false" customHeight="true" outlineLevel="0" collapsed="false">
      <c r="A43" s="23" t="n">
        <v>42</v>
      </c>
      <c r="B43" s="23" t="n">
        <f aca="false">ROUND(가정!$B$32*(A43+1)^가정!$B$33,0)</f>
        <v>104</v>
      </c>
      <c r="C43" s="47" t="n">
        <f aca="false">IF(B43&gt;=IFERROR(INDEX(가정!$B$42:$B$50,C42),1000000),C42+1,C42)</f>
        <v>4</v>
      </c>
      <c r="D43" s="25" t="n">
        <f aca="false">가정!$B$34^(C43-1)</f>
        <v>15.625</v>
      </c>
      <c r="E43" s="25" t="n">
        <f aca="false">(B43/10)^가정!$B$36</f>
        <v>42.3890167529367</v>
      </c>
      <c r="F43" s="24" t="n">
        <f aca="false">IF(C43&gt;C42,(F42+E43)*가정!$B$35,F42+E43)</f>
        <v>357.720105347111</v>
      </c>
      <c r="G43" s="25" t="n">
        <f aca="false">(1+F43*가정!$B$37)*D43</f>
        <v>127.412532920972</v>
      </c>
      <c r="H43" s="25" t="n">
        <f aca="false">(1+F43*가정!$B$38)*D43^0.6</f>
        <v>33.1241782705311</v>
      </c>
      <c r="I43" s="48" t="n">
        <f aca="false">가정!$B$5*가정!$B$7*가정!$B$6^(B43-1)/가정!$B$18</f>
        <v>15911.7070391056</v>
      </c>
      <c r="J43" s="48" t="n">
        <f aca="false">(가정!$B$12+가정!$B$15*(LOG(가정!$B$9*가정!$B$7*H43*가정!$B$10^B43/(가정!$B$10-1)*(가정!$B$14-1)/가정!$B$13)/LOG(가정!$B$14)))*G43</f>
        <v>41734.1121260221</v>
      </c>
      <c r="K43" s="49" t="n">
        <f aca="false">IFERROR(J43/I43,0)</f>
        <v>2.6228557390765</v>
      </c>
      <c r="L43" s="25" t="n">
        <f aca="false">A43/가정!$B$39</f>
        <v>14</v>
      </c>
      <c r="M43" s="26" t="str">
        <f aca="false">IF(K43&lt;1,"미달",IF(K43&gt;4,"과잉","적정"))</f>
        <v>적정</v>
      </c>
      <c r="O43" s="11" t="s">
        <v>154</v>
      </c>
      <c r="P43" s="47" t="n">
        <f aca="false">COUNTIF(M2:M301,"미달")</f>
        <v>0</v>
      </c>
      <c r="Q43" s="14" t="s">
        <v>155</v>
      </c>
    </row>
    <row r="44" customFormat="false" ht="15" hidden="false" customHeight="true" outlineLevel="0" collapsed="false">
      <c r="A44" s="23" t="n">
        <v>43</v>
      </c>
      <c r="B44" s="23" t="n">
        <f aca="false">ROUND(가정!$B$32*(A44+1)^가정!$B$33,0)</f>
        <v>104</v>
      </c>
      <c r="C44" s="47" t="n">
        <f aca="false">IF(B44&gt;=IFERROR(INDEX(가정!$B$42:$B$50,C43),1000000),C43+1,C43)</f>
        <v>4</v>
      </c>
      <c r="D44" s="25" t="n">
        <f aca="false">가정!$B$34^(C44-1)</f>
        <v>15.625</v>
      </c>
      <c r="E44" s="25" t="n">
        <f aca="false">(B44/10)^가정!$B$36</f>
        <v>42.3890167529367</v>
      </c>
      <c r="F44" s="24" t="n">
        <f aca="false">IF(C44&gt;C43,(F43+E44)*가정!$B$35,F43+E44)</f>
        <v>400.109122100048</v>
      </c>
      <c r="G44" s="25" t="n">
        <f aca="false">(1+F44*가정!$B$37)*D44</f>
        <v>140.659100656265</v>
      </c>
      <c r="H44" s="25" t="n">
        <f aca="false">(1+F44*가정!$B$38)*D44^0.6</f>
        <v>36.4327200070563</v>
      </c>
      <c r="I44" s="48" t="n">
        <f aca="false">가정!$B$5*가정!$B$7*가정!$B$6^(B44-1)/가정!$B$18</f>
        <v>15911.7070391056</v>
      </c>
      <c r="J44" s="48" t="n">
        <f aca="false">(가정!$B$12+가정!$B$15*(LOG(가정!$B$9*가정!$B$7*H44*가정!$B$10^B44/(가정!$B$10-1)*(가정!$B$14-1)/가정!$B$13)/LOG(가정!$B$14)))*G44</f>
        <v>46427.5292300687</v>
      </c>
      <c r="K44" s="49" t="n">
        <f aca="false">IFERROR(J44/I44,0)</f>
        <v>2.91782202349285</v>
      </c>
      <c r="L44" s="25" t="n">
        <f aca="false">A44/가정!$B$39</f>
        <v>14.3333333333333</v>
      </c>
      <c r="M44" s="26" t="str">
        <f aca="false">IF(K44&lt;1,"미달",IF(K44&gt;4,"과잉","적정"))</f>
        <v>적정</v>
      </c>
      <c r="O44" s="38" t="s">
        <v>156</v>
      </c>
      <c r="P44" s="47" t="n">
        <f aca="false">C301</f>
        <v>6</v>
      </c>
      <c r="Q44" s="14" t="s">
        <v>157</v>
      </c>
    </row>
    <row r="45" customFormat="false" ht="15" hidden="false" customHeight="true" outlineLevel="0" collapsed="false">
      <c r="A45" s="23" t="n">
        <v>44</v>
      </c>
      <c r="B45" s="23" t="n">
        <f aca="false">ROUND(가정!$B$32*(A45+1)^가정!$B$33,0)</f>
        <v>105</v>
      </c>
      <c r="C45" s="47" t="n">
        <f aca="false">IF(B45&gt;=IFERROR(INDEX(가정!$B$42:$B$50,C44),1000000),C44+1,C44)</f>
        <v>4</v>
      </c>
      <c r="D45" s="25" t="n">
        <f aca="false">가정!$B$34^(C45-1)</f>
        <v>15.625</v>
      </c>
      <c r="E45" s="25" t="n">
        <f aca="false">(B45/10)^가정!$B$36</f>
        <v>43.0430342379188</v>
      </c>
      <c r="F45" s="24" t="n">
        <f aca="false">IF(C45&gt;C44,(F44+E45)*가정!$B$35,F44+E45)</f>
        <v>443.152156337967</v>
      </c>
      <c r="G45" s="25" t="n">
        <f aca="false">(1+F45*가정!$B$37)*D45</f>
        <v>154.110048855615</v>
      </c>
      <c r="H45" s="25" t="n">
        <f aca="false">(1+F45*가정!$B$38)*D45^0.6</f>
        <v>39.7923090268458</v>
      </c>
      <c r="I45" s="48" t="n">
        <f aca="false">가정!$B$5*가정!$B$7*가정!$B$6^(B45-1)/가정!$B$18</f>
        <v>17343.7606726251</v>
      </c>
      <c r="J45" s="48" t="n">
        <f aca="false">(가정!$B$12+가정!$B$15*(LOG(가정!$B$9*가정!$B$7*H45*가정!$B$10^B45/(가정!$B$10-1)*(가정!$B$14-1)/가정!$B$13)/LOG(가정!$B$14)))*G45</f>
        <v>51522.17915326</v>
      </c>
      <c r="K45" s="49" t="n">
        <f aca="false">IFERROR(J45/I45,0)</f>
        <v>2.9706463393825</v>
      </c>
      <c r="L45" s="25" t="n">
        <f aca="false">A45/가정!$B$39</f>
        <v>14.6666666666667</v>
      </c>
      <c r="M45" s="26" t="str">
        <f aca="false">IF(K45&lt;1,"미달",IF(K45&gt;4,"과잉","적정"))</f>
        <v>적정</v>
      </c>
      <c r="O45" s="38" t="s">
        <v>158</v>
      </c>
      <c r="P45" s="47" t="n">
        <f aca="false">INDEX(B2:B301,MIN(300,ROUND(90*가정!$B$39,0)))</f>
        <v>170</v>
      </c>
      <c r="Q45" s="14"/>
    </row>
    <row r="46" customFormat="false" ht="15" hidden="false" customHeight="true" outlineLevel="0" collapsed="false">
      <c r="A46" s="23" t="n">
        <v>45</v>
      </c>
      <c r="B46" s="23" t="n">
        <f aca="false">ROUND(가정!$B$32*(A46+1)^가정!$B$33,0)</f>
        <v>106</v>
      </c>
      <c r="C46" s="47" t="n">
        <f aca="false">IF(B46&gt;=IFERROR(INDEX(가정!$B$42:$B$50,C45),1000000),C45+1,C45)</f>
        <v>4</v>
      </c>
      <c r="D46" s="25" t="n">
        <f aca="false">가정!$B$34^(C46-1)</f>
        <v>15.625</v>
      </c>
      <c r="E46" s="25" t="n">
        <f aca="false">(B46/10)^가정!$B$36</f>
        <v>43.7007997036517</v>
      </c>
      <c r="F46" s="24" t="n">
        <f aca="false">IF(C46&gt;C45,(F45+E46)*가정!$B$35,F45+E46)</f>
        <v>486.852956041619</v>
      </c>
      <c r="G46" s="25" t="n">
        <f aca="false">(1+F46*가정!$B$37)*D46</f>
        <v>167.766548763006</v>
      </c>
      <c r="H46" s="25" t="n">
        <f aca="false">(1+F46*가정!$B$38)*D46^0.6</f>
        <v>43.2032378667804</v>
      </c>
      <c r="I46" s="48" t="n">
        <f aca="false">가정!$B$5*가정!$B$7*가정!$B$6^(B46-1)/가정!$B$18</f>
        <v>18904.6991331614</v>
      </c>
      <c r="J46" s="48" t="n">
        <f aca="false">(가정!$B$12+가정!$B$15*(LOG(가정!$B$9*가정!$B$7*H46*가정!$B$10^B46/(가정!$B$10-1)*(가정!$B$14-1)/가정!$B$13)/LOG(가정!$B$14)))*G46</f>
        <v>56774.2510717218</v>
      </c>
      <c r="K46" s="49" t="n">
        <f aca="false">IFERROR(J46/I46,0)</f>
        <v>3.00318194284997</v>
      </c>
      <c r="L46" s="25" t="n">
        <f aca="false">A46/가정!$B$39</f>
        <v>15</v>
      </c>
      <c r="M46" s="26" t="str">
        <f aca="false">IF(K46&lt;1,"미달",IF(K46&gt;4,"과잉","적정"))</f>
        <v>적정</v>
      </c>
      <c r="O46" s="11" t="s">
        <v>159</v>
      </c>
      <c r="P46" s="56" t="str">
        <f aca="false">IF(AND(MIN(K2:K301)&gt;=1,COUNTIF(M2:M301,"미달")=0,C301&lt;9),"정상","재조정 필요")</f>
        <v>정상</v>
      </c>
      <c r="Q46" s="14"/>
    </row>
    <row r="47" customFormat="false" ht="15" hidden="false" customHeight="true" outlineLevel="0" collapsed="false">
      <c r="A47" s="23" t="n">
        <v>46</v>
      </c>
      <c r="B47" s="23" t="n">
        <f aca="false">ROUND(가정!$B$32*(A47+1)^가정!$B$33,0)</f>
        <v>106</v>
      </c>
      <c r="C47" s="47" t="n">
        <f aca="false">IF(B47&gt;=IFERROR(INDEX(가정!$B$42:$B$50,C46),1000000),C46+1,C46)</f>
        <v>4</v>
      </c>
      <c r="D47" s="25" t="n">
        <f aca="false">가정!$B$34^(C47-1)</f>
        <v>15.625</v>
      </c>
      <c r="E47" s="25" t="n">
        <f aca="false">(B47/10)^가정!$B$36</f>
        <v>43.7007997036517</v>
      </c>
      <c r="F47" s="24" t="n">
        <f aca="false">IF(C47&gt;C46,(F46+E47)*가정!$B$35,F46+E47)</f>
        <v>530.553755745271</v>
      </c>
      <c r="G47" s="25" t="n">
        <f aca="false">(1+F47*가정!$B$37)*D47</f>
        <v>181.423048670397</v>
      </c>
      <c r="H47" s="25" t="n">
        <f aca="false">(1+F47*가정!$B$38)*D47^0.6</f>
        <v>46.614166706715</v>
      </c>
      <c r="I47" s="48" t="n">
        <f aca="false">가정!$B$5*가정!$B$7*가정!$B$6^(B47-1)/가정!$B$18</f>
        <v>18904.6991331614</v>
      </c>
      <c r="J47" s="48" t="n">
        <f aca="false">(가정!$B$12+가정!$B$15*(LOG(가정!$B$9*가정!$B$7*H47*가정!$B$10^B47/(가정!$B$10-1)*(가정!$B$14-1)/가정!$B$13)/LOG(가정!$B$14)))*G47</f>
        <v>61760.7205008385</v>
      </c>
      <c r="K47" s="49" t="n">
        <f aca="false">IFERROR(J47/I47,0)</f>
        <v>3.26695072298198</v>
      </c>
      <c r="L47" s="25" t="n">
        <f aca="false">A47/가정!$B$39</f>
        <v>15.3333333333333</v>
      </c>
      <c r="M47" s="26" t="str">
        <f aca="false">IF(K47&lt;1,"미달",IF(K47&gt;4,"과잉","적정"))</f>
        <v>적정</v>
      </c>
    </row>
    <row r="48" customFormat="false" ht="15" hidden="false" customHeight="true" outlineLevel="0" collapsed="false">
      <c r="A48" s="23" t="n">
        <v>47</v>
      </c>
      <c r="B48" s="23" t="n">
        <f aca="false">ROUND(가정!$B$32*(A48+1)^가정!$B$33,0)</f>
        <v>107</v>
      </c>
      <c r="C48" s="47" t="n">
        <f aca="false">IF(B48&gt;=IFERROR(INDEX(가정!$B$42:$B$50,C47),1000000),C47+1,C47)</f>
        <v>4</v>
      </c>
      <c r="D48" s="25" t="n">
        <f aca="false">가정!$B$34^(C48-1)</f>
        <v>15.625</v>
      </c>
      <c r="E48" s="25" t="n">
        <f aca="false">(B48/10)^가정!$B$36</f>
        <v>44.3622989662841</v>
      </c>
      <c r="F48" s="24" t="n">
        <f aca="false">IF(C48&gt;C47,(F47+E48)*가정!$B$35,F47+E48)</f>
        <v>574.916054711555</v>
      </c>
      <c r="G48" s="25" t="n">
        <f aca="false">(1+F48*가정!$B$37)*D48</f>
        <v>195.286267097361</v>
      </c>
      <c r="H48" s="25" t="n">
        <f aca="false">(1+F48*가정!$B$38)*D48^0.6</f>
        <v>50.0767267965994</v>
      </c>
      <c r="I48" s="48" t="n">
        <f aca="false">가정!$B$5*가정!$B$7*가정!$B$6^(B48-1)/가정!$B$18</f>
        <v>20606.1220551459</v>
      </c>
      <c r="J48" s="48" t="n">
        <f aca="false">(가정!$B$12+가정!$B$15*(LOG(가정!$B$9*가정!$B$7*H48*가정!$B$10^B48/(가정!$B$10-1)*(가정!$B$14-1)/가정!$B$13)/LOG(가정!$B$14)))*G48</f>
        <v>67224.3635565354</v>
      </c>
      <c r="K48" s="49" t="n">
        <f aca="false">IFERROR(J48/I48,0)</f>
        <v>3.26234909104344</v>
      </c>
      <c r="L48" s="25" t="n">
        <f aca="false">A48/가정!$B$39</f>
        <v>15.6666666666667</v>
      </c>
      <c r="M48" s="26" t="str">
        <f aca="false">IF(K48&lt;1,"미달",IF(K48&gt;4,"과잉","적정"))</f>
        <v>적정</v>
      </c>
    </row>
    <row r="49" customFormat="false" ht="15" hidden="false" customHeight="true" outlineLevel="0" collapsed="false">
      <c r="A49" s="23" t="n">
        <v>48</v>
      </c>
      <c r="B49" s="23" t="n">
        <f aca="false">ROUND(가정!$B$32*(A49+1)^가정!$B$33,0)</f>
        <v>107</v>
      </c>
      <c r="C49" s="47" t="n">
        <f aca="false">IF(B49&gt;=IFERROR(INDEX(가정!$B$42:$B$50,C48),1000000),C48+1,C48)</f>
        <v>4</v>
      </c>
      <c r="D49" s="25" t="n">
        <f aca="false">가정!$B$34^(C49-1)</f>
        <v>15.625</v>
      </c>
      <c r="E49" s="25" t="n">
        <f aca="false">(B49/10)^가정!$B$36</f>
        <v>44.3622989662841</v>
      </c>
      <c r="F49" s="24" t="n">
        <f aca="false">IF(C49&gt;C48,(F48+E49)*가정!$B$35,F48+E49)</f>
        <v>619.278353677839</v>
      </c>
      <c r="G49" s="25" t="n">
        <f aca="false">(1+F49*가정!$B$37)*D49</f>
        <v>209.149485524325</v>
      </c>
      <c r="H49" s="25" t="n">
        <f aca="false">(1+F49*가정!$B$38)*D49^0.6</f>
        <v>53.5392868864839</v>
      </c>
      <c r="I49" s="48" t="n">
        <f aca="false">가정!$B$5*가정!$B$7*가정!$B$6^(B49-1)/가정!$B$18</f>
        <v>20606.1220551459</v>
      </c>
      <c r="J49" s="48" t="n">
        <f aca="false">(가정!$B$12+가정!$B$15*(LOG(가정!$B$9*가정!$B$7*H49*가정!$B$10^B49/(가정!$B$10-1)*(가정!$B$14-1)/가정!$B$13)/LOG(가정!$B$14)))*G49</f>
        <v>72366.737508566</v>
      </c>
      <c r="K49" s="49" t="n">
        <f aca="false">IFERROR(J49/I49,0)</f>
        <v>3.51190472981276</v>
      </c>
      <c r="L49" s="25" t="n">
        <f aca="false">A49/가정!$B$39</f>
        <v>16</v>
      </c>
      <c r="M49" s="26" t="str">
        <f aca="false">IF(K49&lt;1,"미달",IF(K49&gt;4,"과잉","적정"))</f>
        <v>적정</v>
      </c>
    </row>
    <row r="50" customFormat="false" ht="15" hidden="false" customHeight="true" outlineLevel="0" collapsed="false">
      <c r="A50" s="23" t="n">
        <v>49</v>
      </c>
      <c r="B50" s="23" t="n">
        <f aca="false">ROUND(가정!$B$32*(A50+1)^가정!$B$33,0)</f>
        <v>108</v>
      </c>
      <c r="C50" s="47" t="n">
        <f aca="false">IF(B50&gt;=IFERROR(INDEX(가정!$B$42:$B$50,C49),1000000),C49+1,C49)</f>
        <v>4</v>
      </c>
      <c r="D50" s="25" t="n">
        <f aca="false">가정!$B$34^(C50-1)</f>
        <v>15.625</v>
      </c>
      <c r="E50" s="25" t="n">
        <f aca="false">(B50/10)^가정!$B$36</f>
        <v>45.0275180280782</v>
      </c>
      <c r="F50" s="24" t="n">
        <f aca="false">IF(C50&gt;C49,(F49+E50)*가정!$B$35,F49+E50)</f>
        <v>664.305871705917</v>
      </c>
      <c r="G50" s="25" t="n">
        <f aca="false">(1+F50*가정!$B$37)*D50</f>
        <v>223.220584908099</v>
      </c>
      <c r="H50" s="25" t="n">
        <f aca="false">(1+F50*가정!$B$38)*D50^0.6</f>
        <v>57.0537685635734</v>
      </c>
      <c r="I50" s="48" t="n">
        <f aca="false">가정!$B$5*가정!$B$7*가정!$B$6^(B50-1)/가정!$B$18</f>
        <v>22460.6730401091</v>
      </c>
      <c r="J50" s="48" t="n">
        <f aca="false">(가정!$B$12+가정!$B$15*(LOG(가정!$B$9*가정!$B$7*H50*가정!$B$10^B50/(가정!$B$10-1)*(가정!$B$14-1)/가정!$B$13)/LOG(가정!$B$14)))*G50</f>
        <v>78038.4369080668</v>
      </c>
      <c r="K50" s="49" t="n">
        <f aca="false">IFERROR(J50/I50,0)</f>
        <v>3.47444783906119</v>
      </c>
      <c r="L50" s="25" t="n">
        <f aca="false">A50/가정!$B$39</f>
        <v>16.3333333333333</v>
      </c>
      <c r="M50" s="26" t="str">
        <f aca="false">IF(K50&lt;1,"미달",IF(K50&gt;4,"과잉","적정"))</f>
        <v>적정</v>
      </c>
    </row>
    <row r="51" customFormat="false" ht="15" hidden="false" customHeight="true" outlineLevel="0" collapsed="false">
      <c r="A51" s="23" t="n">
        <v>50</v>
      </c>
      <c r="B51" s="23" t="n">
        <f aca="false">ROUND(가정!$B$32*(A51+1)^가정!$B$33,0)</f>
        <v>109</v>
      </c>
      <c r="C51" s="47" t="n">
        <f aca="false">IF(B51&gt;=IFERROR(INDEX(가정!$B$42:$B$50,C50),1000000),C50+1,C50)</f>
        <v>4</v>
      </c>
      <c r="D51" s="25" t="n">
        <f aca="false">가정!$B$34^(C51-1)</f>
        <v>15.625</v>
      </c>
      <c r="E51" s="25" t="n">
        <f aca="false">(B51/10)^가정!$B$36</f>
        <v>45.6964430732618</v>
      </c>
      <c r="F51" s="24" t="n">
        <f aca="false">IF(C51&gt;C50,(F50+E51)*가정!$B$35,F50+E51)</f>
        <v>710.002314779179</v>
      </c>
      <c r="G51" s="25" t="n">
        <f aca="false">(1+F51*가정!$B$37)*D51</f>
        <v>237.500723368493</v>
      </c>
      <c r="H51" s="25" t="n">
        <f aca="false">(1+F51*가정!$B$38)*D51^0.6</f>
        <v>60.6204610867767</v>
      </c>
      <c r="I51" s="48" t="n">
        <f aca="false">가정!$B$5*가정!$B$7*가정!$B$6^(B51-1)/가정!$B$18</f>
        <v>24482.1336137189</v>
      </c>
      <c r="J51" s="48" t="n">
        <f aca="false">(가정!$B$12+가정!$B$15*(LOG(가정!$B$9*가정!$B$7*H51*가정!$B$10^B51/(가정!$B$10-1)*(가정!$B$14-1)/가정!$B$13)/LOG(가정!$B$14)))*G51</f>
        <v>83866.7254346453</v>
      </c>
      <c r="K51" s="49" t="n">
        <f aca="false">IFERROR(J51/I51,0)</f>
        <v>3.42562975751629</v>
      </c>
      <c r="L51" s="25" t="n">
        <f aca="false">A51/가정!$B$39</f>
        <v>16.6666666666667</v>
      </c>
      <c r="M51" s="26" t="str">
        <f aca="false">IF(K51&lt;1,"미달",IF(K51&gt;4,"과잉","적정"))</f>
        <v>적정</v>
      </c>
    </row>
    <row r="52" customFormat="false" ht="15" hidden="false" customHeight="true" outlineLevel="0" collapsed="false">
      <c r="A52" s="23" t="n">
        <v>51</v>
      </c>
      <c r="B52" s="23" t="n">
        <f aca="false">ROUND(가정!$B$32*(A52+1)^가정!$B$33,0)</f>
        <v>109</v>
      </c>
      <c r="C52" s="47" t="n">
        <f aca="false">IF(B52&gt;=IFERROR(INDEX(가정!$B$42:$B$50,C51),1000000),C51+1,C51)</f>
        <v>4</v>
      </c>
      <c r="D52" s="25" t="n">
        <f aca="false">가정!$B$34^(C52-1)</f>
        <v>15.625</v>
      </c>
      <c r="E52" s="25" t="n">
        <f aca="false">(B52/10)^가정!$B$36</f>
        <v>45.6964430732618</v>
      </c>
      <c r="F52" s="24" t="n">
        <f aca="false">IF(C52&gt;C51,(F51+E52)*가정!$B$35,F51+E52)</f>
        <v>755.69875785244</v>
      </c>
      <c r="G52" s="25" t="n">
        <f aca="false">(1+F52*가정!$B$37)*D52</f>
        <v>251.780861828888</v>
      </c>
      <c r="H52" s="25" t="n">
        <f aca="false">(1+F52*가정!$B$38)*D52^0.6</f>
        <v>64.1871536099799</v>
      </c>
      <c r="I52" s="48" t="n">
        <f aca="false">가정!$B$5*가정!$B$7*가정!$B$6^(B52-1)/가정!$B$18</f>
        <v>24482.1336137189</v>
      </c>
      <c r="J52" s="48" t="n">
        <f aca="false">(가정!$B$12+가정!$B$15*(LOG(가정!$B$9*가정!$B$7*H52*가정!$B$10^B52/(가정!$B$10-1)*(가정!$B$14-1)/가정!$B$13)/LOG(가정!$B$14)))*G52</f>
        <v>89290.4018050599</v>
      </c>
      <c r="K52" s="49" t="n">
        <f aca="false">IFERROR(J52/I52,0)</f>
        <v>3.64716585628897</v>
      </c>
      <c r="L52" s="25" t="n">
        <f aca="false">A52/가정!$B$39</f>
        <v>17</v>
      </c>
      <c r="M52" s="26" t="str">
        <f aca="false">IF(K52&lt;1,"미달",IF(K52&gt;4,"과잉","적정"))</f>
        <v>적정</v>
      </c>
    </row>
    <row r="53" customFormat="false" ht="15" hidden="false" customHeight="true" outlineLevel="0" collapsed="false">
      <c r="A53" s="23" t="n">
        <v>52</v>
      </c>
      <c r="B53" s="23" t="n">
        <f aca="false">ROUND(가정!$B$32*(A53+1)^가정!$B$33,0)</f>
        <v>110</v>
      </c>
      <c r="C53" s="47" t="n">
        <f aca="false">IF(B53&gt;=IFERROR(INDEX(가정!$B$42:$B$50,C52),1000000),C52+1,C52)</f>
        <v>4</v>
      </c>
      <c r="D53" s="25" t="n">
        <f aca="false">가정!$B$34^(C53-1)</f>
        <v>15.625</v>
      </c>
      <c r="E53" s="25" t="n">
        <f aca="false">(B53/10)^가정!$B$36</f>
        <v>46.3690604640109</v>
      </c>
      <c r="F53" s="24" t="n">
        <f aca="false">IF(C53&gt;C52,(F52+E53)*가정!$B$35,F52+E53)</f>
        <v>802.067818316451</v>
      </c>
      <c r="G53" s="25" t="n">
        <f aca="false">(1+F53*가정!$B$37)*D53</f>
        <v>266.271193223891</v>
      </c>
      <c r="H53" s="25" t="n">
        <f aca="false">(1+F53*가정!$B$38)*D53^0.6</f>
        <v>67.8063451737477</v>
      </c>
      <c r="I53" s="48" t="n">
        <f aca="false">가정!$B$5*가정!$B$7*가정!$B$6^(B53-1)/가정!$B$18</f>
        <v>26685.5256389536</v>
      </c>
      <c r="J53" s="48" t="n">
        <f aca="false">(가정!$B$12+가정!$B$15*(LOG(가정!$B$9*가정!$B$7*H53*가정!$B$10^B53/(가정!$B$10-1)*(가정!$B$14-1)/가정!$B$13)/LOG(가정!$B$14)))*G53</f>
        <v>95325.5856752378</v>
      </c>
      <c r="K53" s="49" t="n">
        <f aca="false">IFERROR(J53/I53,0)</f>
        <v>3.57218317394088</v>
      </c>
      <c r="L53" s="25" t="n">
        <f aca="false">A53/가정!$B$39</f>
        <v>17.3333333333333</v>
      </c>
      <c r="M53" s="26" t="str">
        <f aca="false">IF(K53&lt;1,"미달",IF(K53&gt;4,"과잉","적정"))</f>
        <v>적정</v>
      </c>
    </row>
    <row r="54" customFormat="false" ht="15" hidden="false" customHeight="true" outlineLevel="0" collapsed="false">
      <c r="A54" s="23" t="n">
        <v>53</v>
      </c>
      <c r="B54" s="23" t="n">
        <f aca="false">ROUND(가정!$B$32*(A54+1)^가정!$B$33,0)</f>
        <v>110</v>
      </c>
      <c r="C54" s="47" t="n">
        <f aca="false">IF(B54&gt;=IFERROR(INDEX(가정!$B$42:$B$50,C53),1000000),C53+1,C53)</f>
        <v>4</v>
      </c>
      <c r="D54" s="25" t="n">
        <f aca="false">가정!$B$34^(C54-1)</f>
        <v>15.625</v>
      </c>
      <c r="E54" s="25" t="n">
        <f aca="false">(B54/10)^가정!$B$36</f>
        <v>46.3690604640109</v>
      </c>
      <c r="F54" s="24" t="n">
        <f aca="false">IF(C54&gt;C53,(F53+E54)*가정!$B$35,F53+E54)</f>
        <v>848.436878780462</v>
      </c>
      <c r="G54" s="25" t="n">
        <f aca="false">(1+F54*가정!$B$37)*D54</f>
        <v>280.761524618894</v>
      </c>
      <c r="H54" s="25" t="n">
        <f aca="false">(1+F54*가정!$B$38)*D54^0.6</f>
        <v>71.4255367375156</v>
      </c>
      <c r="I54" s="48" t="n">
        <f aca="false">가정!$B$5*가정!$B$7*가정!$B$6^(B54-1)/가정!$B$18</f>
        <v>26685.5256389536</v>
      </c>
      <c r="J54" s="48" t="n">
        <f aca="false">(가정!$B$12+가정!$B$15*(LOG(가정!$B$9*가정!$B$7*H54*가정!$B$10^B54/(가정!$B$10-1)*(가정!$B$14-1)/가정!$B$13)/LOG(가정!$B$14)))*G54</f>
        <v>100899.624937118</v>
      </c>
      <c r="K54" s="49" t="n">
        <f aca="false">IFERROR(J54/I54,0)</f>
        <v>3.78106192481487</v>
      </c>
      <c r="L54" s="25" t="n">
        <f aca="false">A54/가정!$B$39</f>
        <v>17.6666666666667</v>
      </c>
      <c r="M54" s="26" t="str">
        <f aca="false">IF(K54&lt;1,"미달",IF(K54&gt;4,"과잉","적정"))</f>
        <v>적정</v>
      </c>
    </row>
    <row r="55" customFormat="false" ht="15" hidden="false" customHeight="true" outlineLevel="0" collapsed="false">
      <c r="A55" s="23" t="n">
        <v>54</v>
      </c>
      <c r="B55" s="23" t="n">
        <f aca="false">ROUND(가정!$B$32*(A55+1)^가정!$B$33,0)</f>
        <v>111</v>
      </c>
      <c r="C55" s="47" t="n">
        <f aca="false">IF(B55&gt;=IFERROR(INDEX(가정!$B$42:$B$50,C54),1000000),C54+1,C54)</f>
        <v>4</v>
      </c>
      <c r="D55" s="25" t="n">
        <f aca="false">가정!$B$34^(C55-1)</f>
        <v>15.625</v>
      </c>
      <c r="E55" s="25" t="n">
        <f aca="false">(B55/10)^가정!$B$36</f>
        <v>47.0453567365559</v>
      </c>
      <c r="F55" s="24" t="n">
        <f aca="false">IF(C55&gt;C54,(F54+E55)*가정!$B$35,F54+E55)</f>
        <v>895.482235517018</v>
      </c>
      <c r="G55" s="25" t="n">
        <f aca="false">(1+F55*가정!$B$37)*D55</f>
        <v>295.463198599068</v>
      </c>
      <c r="H55" s="25" t="n">
        <f aca="false">(1+F55*가정!$B$38)*D55^0.6</f>
        <v>75.0975144854267</v>
      </c>
      <c r="I55" s="48" t="n">
        <f aca="false">가정!$B$5*가정!$B$7*가정!$B$6^(B55-1)/가정!$B$18</f>
        <v>29087.2229464594</v>
      </c>
      <c r="J55" s="48" t="n">
        <f aca="false">(가정!$B$12+가정!$B$15*(LOG(가정!$B$9*가정!$B$7*H55*가정!$B$10^B55/(가정!$B$10-1)*(가정!$B$14-1)/가정!$B$13)/LOG(가정!$B$14)))*G55</f>
        <v>107140.840783779</v>
      </c>
      <c r="K55" s="49" t="n">
        <f aca="false">IFERROR(J55/I55,0)</f>
        <v>3.68343313423191</v>
      </c>
      <c r="L55" s="25" t="n">
        <f aca="false">A55/가정!$B$39</f>
        <v>18</v>
      </c>
      <c r="M55" s="26" t="str">
        <f aca="false">IF(K55&lt;1,"미달",IF(K55&gt;4,"과잉","적정"))</f>
        <v>적정</v>
      </c>
    </row>
    <row r="56" customFormat="false" ht="15" hidden="false" customHeight="true" outlineLevel="0" collapsed="false">
      <c r="A56" s="23" t="n">
        <v>55</v>
      </c>
      <c r="B56" s="23" t="n">
        <f aca="false">ROUND(가정!$B$32*(A56+1)^가정!$B$33,0)</f>
        <v>111</v>
      </c>
      <c r="C56" s="47" t="n">
        <f aca="false">IF(B56&gt;=IFERROR(INDEX(가정!$B$42:$B$50,C55),1000000),C55+1,C55)</f>
        <v>4</v>
      </c>
      <c r="D56" s="25" t="n">
        <f aca="false">가정!$B$34^(C56-1)</f>
        <v>15.625</v>
      </c>
      <c r="E56" s="25" t="n">
        <f aca="false">(B56/10)^가정!$B$36</f>
        <v>47.0453567365559</v>
      </c>
      <c r="F56" s="24" t="n">
        <f aca="false">IF(C56&gt;C55,(F55+E56)*가정!$B$35,F55+E56)</f>
        <v>942.527592253574</v>
      </c>
      <c r="G56" s="25" t="n">
        <f aca="false">(1+F56*가정!$B$37)*D56</f>
        <v>310.164872579242</v>
      </c>
      <c r="H56" s="25" t="n">
        <f aca="false">(1+F56*가정!$B$38)*D56^0.6</f>
        <v>78.7694922333377</v>
      </c>
      <c r="I56" s="48" t="n">
        <f aca="false">가정!$B$5*가정!$B$7*가정!$B$6^(B56-1)/가정!$B$18</f>
        <v>29087.2229464594</v>
      </c>
      <c r="J56" s="48" t="n">
        <f aca="false">(가정!$B$12+가정!$B$15*(LOG(가정!$B$9*가정!$B$7*H56*가정!$B$10^B56/(가정!$B$10-1)*(가정!$B$14-1)/가정!$B$13)/LOG(가정!$B$14)))*G56</f>
        <v>112863.919929212</v>
      </c>
      <c r="K56" s="49" t="n">
        <f aca="false">IFERROR(J56/I56,0)</f>
        <v>3.88018891101978</v>
      </c>
      <c r="L56" s="25" t="n">
        <f aca="false">A56/가정!$B$39</f>
        <v>18.3333333333333</v>
      </c>
      <c r="M56" s="26" t="str">
        <f aca="false">IF(K56&lt;1,"미달",IF(K56&gt;4,"과잉","적정"))</f>
        <v>적정</v>
      </c>
    </row>
    <row r="57" customFormat="false" ht="15" hidden="false" customHeight="true" outlineLevel="0" collapsed="false">
      <c r="A57" s="23" t="n">
        <v>56</v>
      </c>
      <c r="B57" s="23" t="n">
        <f aca="false">ROUND(가정!$B$32*(A57+1)^가정!$B$33,0)</f>
        <v>112</v>
      </c>
      <c r="C57" s="47" t="n">
        <f aca="false">IF(B57&gt;=IFERROR(INDEX(가정!$B$42:$B$50,C56),1000000),C56+1,C56)</f>
        <v>4</v>
      </c>
      <c r="D57" s="25" t="n">
        <f aca="false">가정!$B$34^(C57-1)</f>
        <v>15.625</v>
      </c>
      <c r="E57" s="25" t="n">
        <f aca="false">(B57/10)^가정!$B$36</f>
        <v>47.7253185974078</v>
      </c>
      <c r="F57" s="24" t="n">
        <f aca="false">IF(C57&gt;C56,(F56+E57)*가정!$B$35,F56+E57)</f>
        <v>990.252910850982</v>
      </c>
      <c r="G57" s="25" t="n">
        <f aca="false">(1+F57*가정!$B$37)*D57</f>
        <v>325.079034640932</v>
      </c>
      <c r="H57" s="25" t="n">
        <f aca="false">(1+F57*가정!$B$38)*D57^0.6</f>
        <v>82.4945422713891</v>
      </c>
      <c r="I57" s="48" t="n">
        <f aca="false">가정!$B$5*가정!$B$7*가정!$B$6^(B57-1)/가정!$B$18</f>
        <v>31705.0730116407</v>
      </c>
      <c r="J57" s="48" t="n">
        <f aca="false">(가정!$B$12+가정!$B$15*(LOG(가정!$B$9*가정!$B$7*H57*가정!$B$10^B57/(가정!$B$10-1)*(가정!$B$14-1)/가정!$B$13)/LOG(가정!$B$14)))*G57</f>
        <v>119310.910243787</v>
      </c>
      <c r="K57" s="49" t="n">
        <f aca="false">IFERROR(J57/I57,0)</f>
        <v>3.76314888787611</v>
      </c>
      <c r="L57" s="25" t="n">
        <f aca="false">A57/가정!$B$39</f>
        <v>18.6666666666667</v>
      </c>
      <c r="M57" s="26" t="str">
        <f aca="false">IF(K57&lt;1,"미달",IF(K57&gt;4,"과잉","적정"))</f>
        <v>적정</v>
      </c>
    </row>
    <row r="58" customFormat="false" ht="15" hidden="false" customHeight="true" outlineLevel="0" collapsed="false">
      <c r="A58" s="23" t="n">
        <v>57</v>
      </c>
      <c r="B58" s="23" t="n">
        <f aca="false">ROUND(가정!$B$32*(A58+1)^가정!$B$33,0)</f>
        <v>112</v>
      </c>
      <c r="C58" s="47" t="n">
        <f aca="false">IF(B58&gt;=IFERROR(INDEX(가정!$B$42:$B$50,C57),1000000),C57+1,C57)</f>
        <v>4</v>
      </c>
      <c r="D58" s="25" t="n">
        <f aca="false">가정!$B$34^(C58-1)</f>
        <v>15.625</v>
      </c>
      <c r="E58" s="25" t="n">
        <f aca="false">(B58/10)^가정!$B$36</f>
        <v>47.7253185974078</v>
      </c>
      <c r="F58" s="24" t="n">
        <f aca="false">IF(C58&gt;C57,(F57+E58)*가정!$B$35,F57+E58)</f>
        <v>1037.97822944839</v>
      </c>
      <c r="G58" s="25" t="n">
        <f aca="false">(1+F58*가정!$B$37)*D58</f>
        <v>339.993196702622</v>
      </c>
      <c r="H58" s="25" t="n">
        <f aca="false">(1+F58*가정!$B$38)*D58^0.6</f>
        <v>86.2195923094405</v>
      </c>
      <c r="I58" s="48" t="n">
        <f aca="false">가정!$B$5*가정!$B$7*가정!$B$6^(B58-1)/가정!$B$18</f>
        <v>31705.0730116407</v>
      </c>
      <c r="J58" s="48" t="n">
        <f aca="false">(가정!$B$12+가정!$B$15*(LOG(가정!$B$9*가정!$B$7*H58*가정!$B$10^B58/(가정!$B$10-1)*(가정!$B$14-1)/가정!$B$13)/LOG(가정!$B$14)))*G58</f>
        <v>125182.220574481</v>
      </c>
      <c r="K58" s="49" t="n">
        <f aca="false">IFERROR(J58/I58,0)</f>
        <v>3.94833408926449</v>
      </c>
      <c r="L58" s="25" t="n">
        <f aca="false">A58/가정!$B$39</f>
        <v>19</v>
      </c>
      <c r="M58" s="26" t="str">
        <f aca="false">IF(K58&lt;1,"미달",IF(K58&gt;4,"과잉","적정"))</f>
        <v>적정</v>
      </c>
    </row>
    <row r="59" customFormat="false" ht="15" hidden="false" customHeight="true" outlineLevel="0" collapsed="false">
      <c r="A59" s="23" t="n">
        <v>58</v>
      </c>
      <c r="B59" s="23" t="n">
        <f aca="false">ROUND(가정!$B$32*(A59+1)^가정!$B$33,0)</f>
        <v>113</v>
      </c>
      <c r="C59" s="47" t="n">
        <f aca="false">IF(B59&gt;=IFERROR(INDEX(가정!$B$42:$B$50,C58),1000000),C58+1,C58)</f>
        <v>4</v>
      </c>
      <c r="D59" s="25" t="n">
        <f aca="false">가정!$B$34^(C59-1)</f>
        <v>15.625</v>
      </c>
      <c r="E59" s="25" t="n">
        <f aca="false">(B59/10)^가정!$B$36</f>
        <v>48.4089329196999</v>
      </c>
      <c r="F59" s="24" t="n">
        <f aca="false">IF(C59&gt;C58,(F58+E59)*가정!$B$35,F58+E59)</f>
        <v>1086.38716236809</v>
      </c>
      <c r="G59" s="25" t="n">
        <f aca="false">(1+F59*가정!$B$37)*D59</f>
        <v>355.120988240028</v>
      </c>
      <c r="H59" s="25" t="n">
        <f aca="false">(1+F59*가정!$B$38)*D59^0.6</f>
        <v>89.9979997190529</v>
      </c>
      <c r="I59" s="48" t="n">
        <f aca="false">가정!$B$5*가정!$B$7*가정!$B$6^(B59-1)/가정!$B$18</f>
        <v>34558.5295826884</v>
      </c>
      <c r="J59" s="48" t="n">
        <f aca="false">(가정!$B$12+가정!$B$15*(LOG(가정!$B$9*가정!$B$7*H59*가정!$B$10^B59/(가정!$B$10-1)*(가정!$B$14-1)/가정!$B$13)/LOG(가정!$B$14)))*G59</f>
        <v>131835.182520009</v>
      </c>
      <c r="K59" s="49" t="n">
        <f aca="false">IFERROR(J59/I59,0)</f>
        <v>3.81483772926641</v>
      </c>
      <c r="L59" s="25" t="n">
        <f aca="false">A59/가정!$B$39</f>
        <v>19.3333333333333</v>
      </c>
      <c r="M59" s="26" t="str">
        <f aca="false">IF(K59&lt;1,"미달",IF(K59&gt;4,"과잉","적정"))</f>
        <v>적정</v>
      </c>
    </row>
    <row r="60" customFormat="false" ht="15" hidden="false" customHeight="true" outlineLevel="0" collapsed="false">
      <c r="A60" s="23" t="n">
        <v>59</v>
      </c>
      <c r="B60" s="23" t="n">
        <f aca="false">ROUND(가정!$B$32*(A60+1)^가정!$B$33,0)</f>
        <v>113</v>
      </c>
      <c r="C60" s="47" t="n">
        <f aca="false">IF(B60&gt;=IFERROR(INDEX(가정!$B$42:$B$50,C59),1000000),C59+1,C59)</f>
        <v>4</v>
      </c>
      <c r="D60" s="25" t="n">
        <f aca="false">가정!$B$34^(C60-1)</f>
        <v>15.625</v>
      </c>
      <c r="E60" s="25" t="n">
        <f aca="false">(B60/10)^가정!$B$36</f>
        <v>48.4089329196999</v>
      </c>
      <c r="F60" s="24" t="n">
        <f aca="false">IF(C60&gt;C59,(F59+E60)*가정!$B$35,F59+E60)</f>
        <v>1134.79609528779</v>
      </c>
      <c r="G60" s="25" t="n">
        <f aca="false">(1+F60*가정!$B$37)*D60</f>
        <v>370.248779777434</v>
      </c>
      <c r="H60" s="25" t="n">
        <f aca="false">(1+F60*가정!$B$38)*D60^0.6</f>
        <v>93.7764071286652</v>
      </c>
      <c r="I60" s="48" t="n">
        <f aca="false">가정!$B$5*가정!$B$7*가정!$B$6^(B60-1)/가정!$B$18</f>
        <v>34558.5295826884</v>
      </c>
      <c r="J60" s="48" t="n">
        <f aca="false">(가정!$B$12+가정!$B$15*(LOG(가정!$B$9*가정!$B$7*H60*가정!$B$10^B60/(가정!$B$10-1)*(가정!$B$14-1)/가정!$B$13)/LOG(가정!$B$14)))*G60</f>
        <v>137854.305533793</v>
      </c>
      <c r="K60" s="49" t="n">
        <f aca="false">IFERROR(J60/I60,0)</f>
        <v>3.98900957877701</v>
      </c>
      <c r="L60" s="25" t="n">
        <f aca="false">A60/가정!$B$39</f>
        <v>19.6666666666667</v>
      </c>
      <c r="M60" s="26" t="str">
        <f aca="false">IF(K60&lt;1,"미달",IF(K60&gt;4,"과잉","적정"))</f>
        <v>적정</v>
      </c>
    </row>
    <row r="61" customFormat="false" ht="15" hidden="false" customHeight="true" outlineLevel="0" collapsed="false">
      <c r="A61" s="27" t="n">
        <v>60</v>
      </c>
      <c r="B61" s="27" t="n">
        <f aca="false">ROUND(가정!$B$32*(A61+1)^가정!$B$33,0)</f>
        <v>114</v>
      </c>
      <c r="C61" s="50" t="n">
        <f aca="false">IF(B61&gt;=IFERROR(INDEX(가정!$B$42:$B$50,C60),1000000),C60+1,C60)</f>
        <v>4</v>
      </c>
      <c r="D61" s="29" t="n">
        <f aca="false">가정!$B$34^(C61-1)</f>
        <v>15.625</v>
      </c>
      <c r="E61" s="29" t="n">
        <f aca="false">(B61/10)^가정!$B$36</f>
        <v>49.0961867396386</v>
      </c>
      <c r="F61" s="28" t="n">
        <f aca="false">IF(C61&gt;C60,(F60+E61)*가정!$B$35,F60+E61)</f>
        <v>1183.89228202743</v>
      </c>
      <c r="G61" s="29" t="n">
        <f aca="false">(1+F61*가정!$B$37)*D61</f>
        <v>385.591338133571</v>
      </c>
      <c r="H61" s="29" t="n">
        <f aca="false">(1+F61*가정!$B$38)*D61^0.6</f>
        <v>97.6084559794109</v>
      </c>
      <c r="I61" s="51" t="n">
        <f aca="false">가정!$B$5*가정!$B$7*가정!$B$6^(B61-1)/가정!$B$18</f>
        <v>37668.7972451304</v>
      </c>
      <c r="J61" s="51" t="n">
        <f aca="false">(가정!$B$12+가정!$B$15*(LOG(가정!$B$9*가정!$B$7*H61*가정!$B$10^B61/(가정!$B$10-1)*(가정!$B$14-1)/가정!$B$13)/LOG(가정!$B$14)))*G61</f>
        <v>144713.786448647</v>
      </c>
      <c r="K61" s="52" t="n">
        <f aca="false">IFERROR(J61/I61,0)</f>
        <v>3.84174162787624</v>
      </c>
      <c r="L61" s="29" t="n">
        <f aca="false">A61/가정!$B$39</f>
        <v>20</v>
      </c>
      <c r="M61" s="30" t="str">
        <f aca="false">IF(K61&lt;1,"미달",IF(K61&gt;4,"과잉","적정"))</f>
        <v>적정</v>
      </c>
    </row>
    <row r="62" customFormat="false" ht="15" hidden="false" customHeight="true" outlineLevel="0" collapsed="false">
      <c r="A62" s="23" t="n">
        <v>61</v>
      </c>
      <c r="B62" s="23" t="n">
        <f aca="false">ROUND(가정!$B$32*(A62+1)^가정!$B$33,0)</f>
        <v>114</v>
      </c>
      <c r="C62" s="47" t="n">
        <f aca="false">IF(B62&gt;=IFERROR(INDEX(가정!$B$42:$B$50,C61),1000000),C61+1,C61)</f>
        <v>4</v>
      </c>
      <c r="D62" s="25" t="n">
        <f aca="false">가정!$B$34^(C62-1)</f>
        <v>15.625</v>
      </c>
      <c r="E62" s="25" t="n">
        <f aca="false">(B62/10)^가정!$B$36</f>
        <v>49.0961867396386</v>
      </c>
      <c r="F62" s="24" t="n">
        <f aca="false">IF(C62&gt;C61,(F61+E62)*가정!$B$35,F61+E62)</f>
        <v>1232.98846876707</v>
      </c>
      <c r="G62" s="25" t="n">
        <f aca="false">(1+F62*가정!$B$37)*D62</f>
        <v>400.933896489708</v>
      </c>
      <c r="H62" s="25" t="n">
        <f aca="false">(1+F62*가정!$B$38)*D62^0.6</f>
        <v>101.440504830157</v>
      </c>
      <c r="I62" s="48" t="n">
        <f aca="false">가정!$B$5*가정!$B$7*가정!$B$6^(B62-1)/가정!$B$18</f>
        <v>37668.7972451304</v>
      </c>
      <c r="J62" s="48" t="n">
        <f aca="false">(가정!$B$12+가정!$B$15*(LOG(가정!$B$9*가정!$B$7*H62*가정!$B$10^B62/(가정!$B$10-1)*(가정!$B$14-1)/가정!$B$13)/LOG(가정!$B$14)))*G62</f>
        <v>150880.606671424</v>
      </c>
      <c r="K62" s="49" t="n">
        <f aca="false">IFERROR(J62/I62,0)</f>
        <v>4.00545325855682</v>
      </c>
      <c r="L62" s="25" t="n">
        <f aca="false">A62/가정!$B$39</f>
        <v>20.3333333333333</v>
      </c>
      <c r="M62" s="26" t="str">
        <f aca="false">IF(K62&lt;1,"미달",IF(K62&gt;4,"과잉","적정"))</f>
        <v>과잉</v>
      </c>
    </row>
    <row r="63" customFormat="false" ht="15" hidden="false" customHeight="true" outlineLevel="0" collapsed="false">
      <c r="A63" s="23" t="n">
        <v>62</v>
      </c>
      <c r="B63" s="23" t="n">
        <f aca="false">ROUND(가정!$B$32*(A63+1)^가정!$B$33,0)</f>
        <v>115</v>
      </c>
      <c r="C63" s="47" t="n">
        <f aca="false">IF(B63&gt;=IFERROR(INDEX(가정!$B$42:$B$50,C62),1000000),C62+1,C62)</f>
        <v>4</v>
      </c>
      <c r="D63" s="25" t="n">
        <f aca="false">가정!$B$34^(C63-1)</f>
        <v>15.625</v>
      </c>
      <c r="E63" s="25" t="n">
        <f aca="false">(B63/10)^가정!$B$36</f>
        <v>49.7870672530613</v>
      </c>
      <c r="F63" s="24" t="n">
        <f aca="false">IF(C63&gt;C62,(F62+E63)*가정!$B$35,F62+E63)</f>
        <v>1282.77553602013</v>
      </c>
      <c r="G63" s="25" t="n">
        <f aca="false">(1+F63*가정!$B$37)*D63</f>
        <v>416.49235500629</v>
      </c>
      <c r="H63" s="25" t="n">
        <f aca="false">(1+F63*가정!$B$38)*D63^0.6</f>
        <v>105.326478192219</v>
      </c>
      <c r="I63" s="48" t="n">
        <f aca="false">가정!$B$5*가정!$B$7*가정!$B$6^(B63-1)/가정!$B$18</f>
        <v>41058.9889971921</v>
      </c>
      <c r="J63" s="48" t="n">
        <f aca="false">(가정!$B$12+가정!$B$15*(LOG(가정!$B$9*가정!$B$7*H63*가정!$B$10^B63/(가정!$B$10-1)*(가정!$B$14-1)/가정!$B$13)/LOG(가정!$B$14)))*G63</f>
        <v>157947.429586248</v>
      </c>
      <c r="K63" s="49" t="n">
        <f aca="false">IFERROR(J63/I63,0)</f>
        <v>3.84684166473385</v>
      </c>
      <c r="L63" s="25" t="n">
        <f aca="false">A63/가정!$B$39</f>
        <v>20.6666666666667</v>
      </c>
      <c r="M63" s="26" t="str">
        <f aca="false">IF(K63&lt;1,"미달",IF(K63&gt;4,"과잉","적정"))</f>
        <v>적정</v>
      </c>
    </row>
    <row r="64" customFormat="false" ht="15" hidden="false" customHeight="true" outlineLevel="0" collapsed="false">
      <c r="A64" s="23" t="n">
        <v>63</v>
      </c>
      <c r="B64" s="23" t="n">
        <f aca="false">ROUND(가정!$B$32*(A64+1)^가정!$B$33,0)</f>
        <v>115</v>
      </c>
      <c r="C64" s="47" t="n">
        <f aca="false">IF(B64&gt;=IFERROR(INDEX(가정!$B$42:$B$50,C63),1000000),C63+1,C63)</f>
        <v>4</v>
      </c>
      <c r="D64" s="25" t="n">
        <f aca="false">가정!$B$34^(C64-1)</f>
        <v>15.625</v>
      </c>
      <c r="E64" s="25" t="n">
        <f aca="false">(B64/10)^가정!$B$36</f>
        <v>49.7870672530613</v>
      </c>
      <c r="F64" s="24" t="n">
        <f aca="false">IF(C64&gt;C63,(F63+E64)*가정!$B$35,F63+E64)</f>
        <v>1332.56260327319</v>
      </c>
      <c r="G64" s="25" t="n">
        <f aca="false">(1+F64*가정!$B$37)*D64</f>
        <v>432.050813522872</v>
      </c>
      <c r="H64" s="25" t="n">
        <f aca="false">(1+F64*가정!$B$38)*D64^0.6</f>
        <v>109.212451554282</v>
      </c>
      <c r="I64" s="48" t="n">
        <f aca="false">가정!$B$5*가정!$B$7*가정!$B$6^(B64-1)/가정!$B$18</f>
        <v>41058.9889971921</v>
      </c>
      <c r="J64" s="48" t="n">
        <f aca="false">(가정!$B$12+가정!$B$15*(LOG(가정!$B$9*가정!$B$7*H64*가정!$B$10^B64/(가정!$B$10-1)*(가정!$B$14-1)/가정!$B$13)/LOG(가정!$B$14)))*G64</f>
        <v>164262.071600794</v>
      </c>
      <c r="K64" s="49" t="n">
        <f aca="false">IFERROR(J64/I64,0)</f>
        <v>4.00063605102471</v>
      </c>
      <c r="L64" s="25" t="n">
        <f aca="false">A64/가정!$B$39</f>
        <v>21</v>
      </c>
      <c r="M64" s="26" t="str">
        <f aca="false">IF(K64&lt;1,"미달",IF(K64&gt;4,"과잉","적정"))</f>
        <v>과잉</v>
      </c>
    </row>
    <row r="65" customFormat="false" ht="15" hidden="false" customHeight="true" outlineLevel="0" collapsed="false">
      <c r="A65" s="23" t="n">
        <v>64</v>
      </c>
      <c r="B65" s="23" t="n">
        <f aca="false">ROUND(가정!$B$32*(A65+1)^가정!$B$33,0)</f>
        <v>116</v>
      </c>
      <c r="C65" s="47" t="n">
        <f aca="false">IF(B65&gt;=IFERROR(INDEX(가정!$B$42:$B$50,C64),1000000),C64+1,C64)</f>
        <v>4</v>
      </c>
      <c r="D65" s="25" t="n">
        <f aca="false">가정!$B$34^(C65-1)</f>
        <v>15.625</v>
      </c>
      <c r="E65" s="25" t="n">
        <f aca="false">(B65/10)^가정!$B$36</f>
        <v>50.4815618120962</v>
      </c>
      <c r="F65" s="24" t="n">
        <f aca="false">IF(C65&gt;C64,(F64+E65)*가정!$B$35,F64+E65)</f>
        <v>1383.04416508529</v>
      </c>
      <c r="G65" s="25" t="n">
        <f aca="false">(1+F65*가정!$B$37)*D65</f>
        <v>447.826301589152</v>
      </c>
      <c r="H65" s="25" t="n">
        <f aca="false">(1+F65*가정!$B$38)*D65^0.6</f>
        <v>113.152631510655</v>
      </c>
      <c r="I65" s="48" t="n">
        <f aca="false">가정!$B$5*가정!$B$7*가정!$B$6^(B65-1)/가정!$B$18</f>
        <v>44754.2980069394</v>
      </c>
      <c r="J65" s="48" t="n">
        <f aca="false">(가정!$B$12+가정!$B$15*(LOG(가정!$B$9*가정!$B$7*H65*가정!$B$10^B65/(가정!$B$10-1)*(가정!$B$14-1)/가정!$B$13)/LOG(가정!$B$14)))*G65</f>
        <v>171537.280752376</v>
      </c>
      <c r="K65" s="49" t="n">
        <f aca="false">IFERROR(J65/I65,0)</f>
        <v>3.83286719692885</v>
      </c>
      <c r="L65" s="25" t="n">
        <f aca="false">A65/가정!$B$39</f>
        <v>21.3333333333333</v>
      </c>
      <c r="M65" s="26" t="str">
        <f aca="false">IF(K65&lt;1,"미달",IF(K65&gt;4,"과잉","적정"))</f>
        <v>적정</v>
      </c>
    </row>
    <row r="66" customFormat="false" ht="15" hidden="false" customHeight="true" outlineLevel="0" collapsed="false">
      <c r="A66" s="23" t="n">
        <v>65</v>
      </c>
      <c r="B66" s="23" t="n">
        <f aca="false">ROUND(가정!$B$32*(A66+1)^가정!$B$33,0)</f>
        <v>116</v>
      </c>
      <c r="C66" s="47" t="n">
        <f aca="false">IF(B66&gt;=IFERROR(INDEX(가정!$B$42:$B$50,C65),1000000),C65+1,C65)</f>
        <v>4</v>
      </c>
      <c r="D66" s="25" t="n">
        <f aca="false">가정!$B$34^(C66-1)</f>
        <v>15.625</v>
      </c>
      <c r="E66" s="25" t="n">
        <f aca="false">(B66/10)^가정!$B$36</f>
        <v>50.4815618120962</v>
      </c>
      <c r="F66" s="24" t="n">
        <f aca="false">IF(C66&gt;C65,(F65+E66)*가정!$B$35,F65+E66)</f>
        <v>1433.52572689738</v>
      </c>
      <c r="G66" s="25" t="n">
        <f aca="false">(1+F66*가정!$B$37)*D66</f>
        <v>463.601789655432</v>
      </c>
      <c r="H66" s="25" t="n">
        <f aca="false">(1+F66*가정!$B$38)*D66^0.6</f>
        <v>117.092811467029</v>
      </c>
      <c r="I66" s="48" t="n">
        <f aca="false">가정!$B$5*가정!$B$7*가정!$B$6^(B66-1)/가정!$B$18</f>
        <v>44754.2980069394</v>
      </c>
      <c r="J66" s="48" t="n">
        <f aca="false">(가정!$B$12+가정!$B$15*(LOG(가정!$B$9*가정!$B$7*H66*가정!$B$10^B66/(가정!$B$10-1)*(가정!$B$14-1)/가정!$B$13)/LOG(가정!$B$14)))*G66</f>
        <v>178000.062604888</v>
      </c>
      <c r="K66" s="49" t="n">
        <f aca="false">IFERROR(J66/I66,0)</f>
        <v>3.97727303369362</v>
      </c>
      <c r="L66" s="25" t="n">
        <f aca="false">A66/가정!$B$39</f>
        <v>21.6666666666667</v>
      </c>
      <c r="M66" s="26" t="str">
        <f aca="false">IF(K66&lt;1,"미달",IF(K66&gt;4,"과잉","적정"))</f>
        <v>적정</v>
      </c>
    </row>
    <row r="67" customFormat="false" ht="15" hidden="false" customHeight="true" outlineLevel="0" collapsed="false">
      <c r="A67" s="23" t="n">
        <v>66</v>
      </c>
      <c r="B67" s="23" t="n">
        <f aca="false">ROUND(가정!$B$32*(A67+1)^가정!$B$33,0)</f>
        <v>117</v>
      </c>
      <c r="C67" s="47" t="n">
        <f aca="false">IF(B67&gt;=IFERROR(INDEX(가정!$B$42:$B$50,C66),1000000),C66+1,C66)</f>
        <v>4</v>
      </c>
      <c r="D67" s="25" t="n">
        <f aca="false">가정!$B$34^(C67-1)</f>
        <v>15.625</v>
      </c>
      <c r="E67" s="25" t="n">
        <f aca="false">(B67/10)^가정!$B$36</f>
        <v>51.17965792192</v>
      </c>
      <c r="F67" s="24" t="n">
        <f aca="false">IF(C67&gt;C66,(F66+E67)*가정!$B$35,F66+E67)</f>
        <v>1484.7053848193</v>
      </c>
      <c r="G67" s="25" t="n">
        <f aca="false">(1+F67*가정!$B$37)*D67</f>
        <v>479.595432756032</v>
      </c>
      <c r="H67" s="25" t="n">
        <f aca="false">(1+F67*가정!$B$38)*D67^0.6</f>
        <v>121.087479125463</v>
      </c>
      <c r="I67" s="48" t="n">
        <f aca="false">가정!$B$5*가정!$B$7*가정!$B$6^(B67-1)/가정!$B$18</f>
        <v>48782.184827564</v>
      </c>
      <c r="J67" s="48" t="n">
        <f aca="false">(가정!$B$12+가정!$B$15*(LOG(가정!$B$9*가정!$B$7*H67*가정!$B$10^B67/(가정!$B$10-1)*(가정!$B$14-1)/가정!$B$13)/LOG(가정!$B$14)))*G67</f>
        <v>185484.882683981</v>
      </c>
      <c r="K67" s="49" t="n">
        <f aca="false">IFERROR(J67/I67,0)</f>
        <v>3.80230781666782</v>
      </c>
      <c r="L67" s="25" t="n">
        <f aca="false">A67/가정!$B$39</f>
        <v>22</v>
      </c>
      <c r="M67" s="26" t="str">
        <f aca="false">IF(K67&lt;1,"미달",IF(K67&gt;4,"과잉","적정"))</f>
        <v>적정</v>
      </c>
    </row>
    <row r="68" customFormat="false" ht="15" hidden="false" customHeight="true" outlineLevel="0" collapsed="false">
      <c r="A68" s="23" t="n">
        <v>67</v>
      </c>
      <c r="B68" s="23" t="n">
        <f aca="false">ROUND(가정!$B$32*(A68+1)^가정!$B$33,0)</f>
        <v>117</v>
      </c>
      <c r="C68" s="47" t="n">
        <f aca="false">IF(B68&gt;=IFERROR(INDEX(가정!$B$42:$B$50,C67),1000000),C67+1,C67)</f>
        <v>4</v>
      </c>
      <c r="D68" s="25" t="n">
        <f aca="false">가정!$B$34^(C68-1)</f>
        <v>15.625</v>
      </c>
      <c r="E68" s="25" t="n">
        <f aca="false">(B68/10)^가정!$B$36</f>
        <v>51.17965792192</v>
      </c>
      <c r="F68" s="24" t="n">
        <f aca="false">IF(C68&gt;C67,(F67+E68)*가정!$B$35,F67+E68)</f>
        <v>1535.88504274122</v>
      </c>
      <c r="G68" s="25" t="n">
        <f aca="false">(1+F68*가정!$B$37)*D68</f>
        <v>495.589075856632</v>
      </c>
      <c r="H68" s="25" t="n">
        <f aca="false">(1+F68*가정!$B$38)*D68^0.6</f>
        <v>125.082146783896</v>
      </c>
      <c r="I68" s="48" t="n">
        <f aca="false">가정!$B$5*가정!$B$7*가정!$B$6^(B68-1)/가정!$B$18</f>
        <v>48782.184827564</v>
      </c>
      <c r="J68" s="48" t="n">
        <f aca="false">(가정!$B$12+가정!$B$15*(LOG(가정!$B$9*가정!$B$7*H68*가정!$B$10^B68/(가정!$B$10-1)*(가정!$B$14-1)/가정!$B$13)/LOG(가정!$B$14)))*G68</f>
        <v>192096.280691525</v>
      </c>
      <c r="K68" s="49" t="n">
        <f aca="false">IFERROR(J68/I68,0)</f>
        <v>3.93783676091077</v>
      </c>
      <c r="L68" s="25" t="n">
        <f aca="false">A68/가정!$B$39</f>
        <v>22.3333333333333</v>
      </c>
      <c r="M68" s="26" t="str">
        <f aca="false">IF(K68&lt;1,"미달",IF(K68&gt;4,"과잉","적정"))</f>
        <v>적정</v>
      </c>
    </row>
    <row r="69" customFormat="false" ht="15" hidden="false" customHeight="true" outlineLevel="0" collapsed="false">
      <c r="A69" s="23" t="n">
        <v>68</v>
      </c>
      <c r="B69" s="23" t="n">
        <f aca="false">ROUND(가정!$B$32*(A69+1)^가정!$B$33,0)</f>
        <v>118</v>
      </c>
      <c r="C69" s="47" t="n">
        <f aca="false">IF(B69&gt;=IFERROR(INDEX(가정!$B$42:$B$50,C68),1000000),C68+1,C68)</f>
        <v>4</v>
      </c>
      <c r="D69" s="25" t="n">
        <f aca="false">가정!$B$34^(C69-1)</f>
        <v>15.625</v>
      </c>
      <c r="E69" s="25" t="n">
        <f aca="false">(B69/10)^가정!$B$36</f>
        <v>51.8813432376101</v>
      </c>
      <c r="F69" s="24" t="n">
        <f aca="false">IF(C69&gt;C68,(F68+E69)*가정!$B$35,F68+E69)</f>
        <v>1587.76638597883</v>
      </c>
      <c r="G69" s="25" t="n">
        <f aca="false">(1+F69*가정!$B$37)*D69</f>
        <v>511.801995618385</v>
      </c>
      <c r="H69" s="25" t="n">
        <f aca="false">(1+F69*가정!$B$38)*D69^0.6</f>
        <v>129.131582288595</v>
      </c>
      <c r="I69" s="48" t="n">
        <f aca="false">가정!$B$5*가정!$B$7*가정!$B$6^(B69-1)/가정!$B$18</f>
        <v>53172.5814620447</v>
      </c>
      <c r="J69" s="48" t="n">
        <f aca="false">(가정!$B$12+가정!$B$15*(LOG(가정!$B$9*가정!$B$7*H69*가정!$B$10^B69/(가정!$B$10-1)*(가정!$B$14-1)/가정!$B$13)/LOG(가정!$B$14)))*G69</f>
        <v>199792.085772004</v>
      </c>
      <c r="K69" s="49" t="n">
        <f aca="false">IFERROR(J69/I69,0)</f>
        <v>3.75742685945422</v>
      </c>
      <c r="L69" s="25" t="n">
        <f aca="false">A69/가정!$B$39</f>
        <v>22.6666666666667</v>
      </c>
      <c r="M69" s="26" t="str">
        <f aca="false">IF(K69&lt;1,"미달",IF(K69&gt;4,"과잉","적정"))</f>
        <v>적정</v>
      </c>
    </row>
    <row r="70" customFormat="false" ht="15" hidden="false" customHeight="true" outlineLevel="0" collapsed="false">
      <c r="A70" s="23" t="n">
        <v>69</v>
      </c>
      <c r="B70" s="23" t="n">
        <f aca="false">ROUND(가정!$B$32*(A70+1)^가정!$B$33,0)</f>
        <v>118</v>
      </c>
      <c r="C70" s="47" t="n">
        <f aca="false">IF(B70&gt;=IFERROR(INDEX(가정!$B$42:$B$50,C69),1000000),C69+1,C69)</f>
        <v>4</v>
      </c>
      <c r="D70" s="25" t="n">
        <f aca="false">가정!$B$34^(C70-1)</f>
        <v>15.625</v>
      </c>
      <c r="E70" s="25" t="n">
        <f aca="false">(B70/10)^가정!$B$36</f>
        <v>51.8813432376101</v>
      </c>
      <c r="F70" s="24" t="n">
        <f aca="false">IF(C70&gt;C69,(F69+E70)*가정!$B$35,F69+E70)</f>
        <v>1639.64772921644</v>
      </c>
      <c r="G70" s="25" t="n">
        <f aca="false">(1+F70*가정!$B$37)*D70</f>
        <v>528.014915380138</v>
      </c>
      <c r="H70" s="25" t="n">
        <f aca="false">(1+F70*가정!$B$38)*D70^0.6</f>
        <v>133.181017793294</v>
      </c>
      <c r="I70" s="48" t="n">
        <f aca="false">가정!$B$5*가정!$B$7*가정!$B$6^(B70-1)/가정!$B$18</f>
        <v>53172.5814620447</v>
      </c>
      <c r="J70" s="48" t="n">
        <f aca="false">(가정!$B$12+가정!$B$15*(LOG(가정!$B$9*가정!$B$7*H70*가정!$B$10^B70/(가정!$B$10-1)*(가정!$B$14-1)/가정!$B$13)/LOG(가정!$B$14)))*G70</f>
        <v>206552.707460976</v>
      </c>
      <c r="K70" s="49" t="n">
        <f aca="false">IFERROR(J70/I70,0)</f>
        <v>3.88457174320971</v>
      </c>
      <c r="L70" s="25" t="n">
        <f aca="false">A70/가정!$B$39</f>
        <v>23</v>
      </c>
      <c r="M70" s="26" t="str">
        <f aca="false">IF(K70&lt;1,"미달",IF(K70&gt;4,"과잉","적정"))</f>
        <v>적정</v>
      </c>
    </row>
    <row r="71" customFormat="false" ht="15" hidden="false" customHeight="true" outlineLevel="0" collapsed="false">
      <c r="A71" s="23" t="n">
        <v>70</v>
      </c>
      <c r="B71" s="23" t="n">
        <f aca="false">ROUND(가정!$B$32*(A71+1)^가정!$B$33,0)</f>
        <v>119</v>
      </c>
      <c r="C71" s="47" t="n">
        <f aca="false">IF(B71&gt;=IFERROR(INDEX(가정!$B$42:$B$50,C70),1000000),C70+1,C70)</f>
        <v>4</v>
      </c>
      <c r="D71" s="25" t="n">
        <f aca="false">가정!$B$34^(C71-1)</f>
        <v>15.625</v>
      </c>
      <c r="E71" s="25" t="n">
        <f aca="false">(B71/10)^가정!$B$36</f>
        <v>52.586605561088</v>
      </c>
      <c r="F71" s="24" t="n">
        <f aca="false">IF(C71&gt;C70,(F70+E71)*가정!$B$35,F70+E71)</f>
        <v>1692.23433477753</v>
      </c>
      <c r="G71" s="25" t="n">
        <f aca="false">(1+F71*가정!$B$37)*D71</f>
        <v>544.448229617978</v>
      </c>
      <c r="H71" s="25" t="n">
        <f aca="false">(1+F71*가정!$B$38)*D71^0.6</f>
        <v>137.285500336381</v>
      </c>
      <c r="I71" s="48" t="n">
        <f aca="false">가정!$B$5*가정!$B$7*가정!$B$6^(B71-1)/가정!$B$18</f>
        <v>57958.1137936288</v>
      </c>
      <c r="J71" s="48" t="n">
        <f aca="false">(가정!$B$12+가정!$B$15*(LOG(가정!$B$9*가정!$B$7*H71*가정!$B$10^B71/(가정!$B$10-1)*(가정!$B$14-1)/가정!$B$13)/LOG(가정!$B$14)))*G71</f>
        <v>214460.996909573</v>
      </c>
      <c r="K71" s="49" t="n">
        <f aca="false">IFERROR(J71/I71,0)</f>
        <v>3.70027564515304</v>
      </c>
      <c r="L71" s="25" t="n">
        <f aca="false">A71/가정!$B$39</f>
        <v>23.3333333333333</v>
      </c>
      <c r="M71" s="26" t="str">
        <f aca="false">IF(K71&lt;1,"미달",IF(K71&gt;4,"과잉","적정"))</f>
        <v>적정</v>
      </c>
    </row>
    <row r="72" customFormat="false" ht="15" hidden="false" customHeight="true" outlineLevel="0" collapsed="false">
      <c r="A72" s="23" t="n">
        <v>71</v>
      </c>
      <c r="B72" s="23" t="n">
        <f aca="false">ROUND(가정!$B$32*(A72+1)^가정!$B$33,0)</f>
        <v>119</v>
      </c>
      <c r="C72" s="47" t="n">
        <f aca="false">IF(B72&gt;=IFERROR(INDEX(가정!$B$42:$B$50,C71),1000000),C71+1,C71)</f>
        <v>4</v>
      </c>
      <c r="D72" s="25" t="n">
        <f aca="false">가정!$B$34^(C72-1)</f>
        <v>15.625</v>
      </c>
      <c r="E72" s="25" t="n">
        <f aca="false">(B72/10)^가정!$B$36</f>
        <v>52.586605561088</v>
      </c>
      <c r="F72" s="24" t="n">
        <f aca="false">IF(C72&gt;C71,(F71+E72)*가정!$B$35,F71+E72)</f>
        <v>1744.82094033862</v>
      </c>
      <c r="G72" s="25" t="n">
        <f aca="false">(1+F72*가정!$B$37)*D72</f>
        <v>560.881543855818</v>
      </c>
      <c r="H72" s="25" t="n">
        <f aca="false">(1+F72*가정!$B$38)*D72^0.6</f>
        <v>141.389982879468</v>
      </c>
      <c r="I72" s="48" t="n">
        <f aca="false">가정!$B$5*가정!$B$7*가정!$B$6^(B72-1)/가정!$B$18</f>
        <v>57958.1137936288</v>
      </c>
      <c r="J72" s="48" t="n">
        <f aca="false">(가정!$B$12+가정!$B$15*(LOG(가정!$B$9*가정!$B$7*H72*가정!$B$10^B72/(가정!$B$10-1)*(가정!$B$14-1)/가정!$B$13)/LOG(가정!$B$14)))*G72</f>
        <v>221371.559876928</v>
      </c>
      <c r="K72" s="49" t="n">
        <f aca="false">IFERROR(J72/I72,0)</f>
        <v>3.81950939026699</v>
      </c>
      <c r="L72" s="25" t="n">
        <f aca="false">A72/가정!$B$39</f>
        <v>23.6666666666667</v>
      </c>
      <c r="M72" s="26" t="str">
        <f aca="false">IF(K72&lt;1,"미달",IF(K72&gt;4,"과잉","적정"))</f>
        <v>적정</v>
      </c>
    </row>
    <row r="73" customFormat="false" ht="15" hidden="false" customHeight="true" outlineLevel="0" collapsed="false">
      <c r="A73" s="23" t="n">
        <v>72</v>
      </c>
      <c r="B73" s="23" t="n">
        <f aca="false">ROUND(가정!$B$32*(A73+1)^가정!$B$33,0)</f>
        <v>120</v>
      </c>
      <c r="C73" s="47" t="n">
        <f aca="false">IF(B73&gt;=IFERROR(INDEX(가정!$B$42:$B$50,C72),1000000),C72+1,C72)</f>
        <v>4</v>
      </c>
      <c r="D73" s="25" t="n">
        <f aca="false">가정!$B$34^(C73-1)</f>
        <v>15.625</v>
      </c>
      <c r="E73" s="25" t="n">
        <f aca="false">(B73/10)^가정!$B$36</f>
        <v>53.2954328381501</v>
      </c>
      <c r="F73" s="24" t="n">
        <f aca="false">IF(C73&gt;C72,(F72+E73)*가정!$B$35,F72+E73)</f>
        <v>1798.11637317677</v>
      </c>
      <c r="G73" s="25" t="n">
        <f aca="false">(1+F73*가정!$B$37)*D73</f>
        <v>577.53636661774</v>
      </c>
      <c r="H73" s="25" t="n">
        <f aca="false">(1+F73*가정!$B$38)*D73^0.6</f>
        <v>145.549790712212</v>
      </c>
      <c r="I73" s="48" t="n">
        <f aca="false">가정!$B$5*가정!$B$7*가정!$B$6^(B73-1)/가정!$B$18</f>
        <v>63174.3440350553</v>
      </c>
      <c r="J73" s="48" t="n">
        <f aca="false">(가정!$B$12+가정!$B$15*(LOG(가정!$B$9*가정!$B$7*H73*가정!$B$10^B73/(가정!$B$10-1)*(가정!$B$14-1)/가정!$B$13)/LOG(가정!$B$14)))*G73</f>
        <v>229493.939396814</v>
      </c>
      <c r="K73" s="49" t="n">
        <f aca="false">IFERROR(J73/I73,0)</f>
        <v>3.63270791176666</v>
      </c>
      <c r="L73" s="25" t="n">
        <f aca="false">A73/가정!$B$39</f>
        <v>24</v>
      </c>
      <c r="M73" s="26" t="str">
        <f aca="false">IF(K73&lt;1,"미달",IF(K73&gt;4,"과잉","적정"))</f>
        <v>적정</v>
      </c>
    </row>
    <row r="74" customFormat="false" ht="15" hidden="false" customHeight="true" outlineLevel="0" collapsed="false">
      <c r="A74" s="23" t="n">
        <v>73</v>
      </c>
      <c r="B74" s="23" t="n">
        <f aca="false">ROUND(가정!$B$32*(A74+1)^가정!$B$33,0)</f>
        <v>120</v>
      </c>
      <c r="C74" s="47" t="n">
        <f aca="false">IF(B74&gt;=IFERROR(INDEX(가정!$B$42:$B$50,C73),1000000),C73+1,C73)</f>
        <v>4</v>
      </c>
      <c r="D74" s="25" t="n">
        <f aca="false">가정!$B$34^(C74-1)</f>
        <v>15.625</v>
      </c>
      <c r="E74" s="25" t="n">
        <f aca="false">(B74/10)^가정!$B$36</f>
        <v>53.2954328381501</v>
      </c>
      <c r="F74" s="24" t="n">
        <f aca="false">IF(C74&gt;C73,(F73+E74)*가정!$B$35,F73+E74)</f>
        <v>1851.41180601492</v>
      </c>
      <c r="G74" s="25" t="n">
        <f aca="false">(1+F74*가정!$B$37)*D74</f>
        <v>594.191189379662</v>
      </c>
      <c r="H74" s="25" t="n">
        <f aca="false">(1+F74*가정!$B$38)*D74^0.6</f>
        <v>149.709598544957</v>
      </c>
      <c r="I74" s="48" t="n">
        <f aca="false">가정!$B$5*가정!$B$7*가정!$B$6^(B74-1)/가정!$B$18</f>
        <v>63174.3440350553</v>
      </c>
      <c r="J74" s="48" t="n">
        <f aca="false">(가정!$B$12+가정!$B$15*(LOG(가정!$B$9*가정!$B$7*H74*가정!$B$10^B74/(가정!$B$10-1)*(가정!$B$14-1)/가정!$B$13)/LOG(가정!$B$14)))*G74</f>
        <v>236555.254566519</v>
      </c>
      <c r="K74" s="49" t="n">
        <f aca="false">IFERROR(J74/I74,0)</f>
        <v>3.74448295712029</v>
      </c>
      <c r="L74" s="25" t="n">
        <f aca="false">A74/가정!$B$39</f>
        <v>24.3333333333333</v>
      </c>
      <c r="M74" s="26" t="str">
        <f aca="false">IF(K74&lt;1,"미달",IF(K74&gt;4,"과잉","적정"))</f>
        <v>적정</v>
      </c>
    </row>
    <row r="75" customFormat="false" ht="15" hidden="false" customHeight="true" outlineLevel="0" collapsed="false">
      <c r="A75" s="23" t="n">
        <v>74</v>
      </c>
      <c r="B75" s="23" t="n">
        <f aca="false">ROUND(가정!$B$32*(A75+1)^가정!$B$33,0)</f>
        <v>120</v>
      </c>
      <c r="C75" s="47" t="n">
        <f aca="false">IF(B75&gt;=IFERROR(INDEX(가정!$B$42:$B$50,C74),1000000),C74+1,C74)</f>
        <v>4</v>
      </c>
      <c r="D75" s="25" t="n">
        <f aca="false">가정!$B$34^(C75-1)</f>
        <v>15.625</v>
      </c>
      <c r="E75" s="25" t="n">
        <f aca="false">(B75/10)^가정!$B$36</f>
        <v>53.2954328381501</v>
      </c>
      <c r="F75" s="24" t="n">
        <f aca="false">IF(C75&gt;C74,(F74+E75)*가정!$B$35,F74+E75)</f>
        <v>1904.70723885307</v>
      </c>
      <c r="G75" s="25" t="n">
        <f aca="false">(1+F75*가정!$B$37)*D75</f>
        <v>610.846012141584</v>
      </c>
      <c r="H75" s="25" t="n">
        <f aca="false">(1+F75*가정!$B$38)*D75^0.6</f>
        <v>153.869406377701</v>
      </c>
      <c r="I75" s="48" t="n">
        <f aca="false">가정!$B$5*가정!$B$7*가정!$B$6^(B75-1)/가정!$B$18</f>
        <v>63174.3440350553</v>
      </c>
      <c r="J75" s="48" t="n">
        <f aca="false">(가정!$B$12+가정!$B$15*(LOG(가정!$B$9*가정!$B$7*H75*가정!$B$10^B75/(가정!$B$10-1)*(가정!$B$14-1)/가정!$B$13)/LOG(가정!$B$14)))*G75</f>
        <v>243628.928052202</v>
      </c>
      <c r="K75" s="49" t="n">
        <f aca="false">IFERROR(J75/I75,0)</f>
        <v>3.85645362486095</v>
      </c>
      <c r="L75" s="25" t="n">
        <f aca="false">A75/가정!$B$39</f>
        <v>24.6666666666667</v>
      </c>
      <c r="M75" s="26" t="str">
        <f aca="false">IF(K75&lt;1,"미달",IF(K75&gt;4,"과잉","적정"))</f>
        <v>적정</v>
      </c>
    </row>
    <row r="76" customFormat="false" ht="15" hidden="false" customHeight="true" outlineLevel="0" collapsed="false">
      <c r="A76" s="23" t="n">
        <v>75</v>
      </c>
      <c r="B76" s="23" t="n">
        <f aca="false">ROUND(가정!$B$32*(A76+1)^가정!$B$33,0)</f>
        <v>121</v>
      </c>
      <c r="C76" s="47" t="n">
        <f aca="false">IF(B76&gt;=IFERROR(INDEX(가정!$B$42:$B$50,C75),1000000),C75+1,C75)</f>
        <v>4</v>
      </c>
      <c r="D76" s="25" t="n">
        <f aca="false">가정!$B$34^(C76-1)</f>
        <v>15.625</v>
      </c>
      <c r="E76" s="25" t="n">
        <f aca="false">(B76/10)^가정!$B$36</f>
        <v>54.0078131555827</v>
      </c>
      <c r="F76" s="24" t="n">
        <f aca="false">IF(C76&gt;C75,(F75+E76)*가정!$B$35,F75+E76)</f>
        <v>1958.71505200865</v>
      </c>
      <c r="G76" s="25" t="n">
        <f aca="false">(1+F76*가정!$B$37)*D76</f>
        <v>627.723453752703</v>
      </c>
      <c r="H76" s="25" t="n">
        <f aca="false">(1+F76*가정!$B$38)*D76^0.6</f>
        <v>158.084816821524</v>
      </c>
      <c r="I76" s="48" t="n">
        <f aca="false">가정!$B$5*가정!$B$7*가정!$B$6^(B76-1)/가정!$B$18</f>
        <v>68860.0349982103</v>
      </c>
      <c r="J76" s="48" t="n">
        <f aca="false">(가정!$B$12+가정!$B$15*(LOG(가정!$B$9*가정!$B$7*H76*가정!$B$10^B76/(가정!$B$10-1)*(가정!$B$14-1)/가정!$B$13)/LOG(가정!$B$14)))*G76</f>
        <v>252011.15919059</v>
      </c>
      <c r="K76" s="49" t="n">
        <f aca="false">IFERROR(J76/I76,0)</f>
        <v>3.65975938288646</v>
      </c>
      <c r="L76" s="25" t="n">
        <f aca="false">A76/가정!$B$39</f>
        <v>25</v>
      </c>
      <c r="M76" s="26" t="str">
        <f aca="false">IF(K76&lt;1,"미달",IF(K76&gt;4,"과잉","적정"))</f>
        <v>적정</v>
      </c>
    </row>
    <row r="77" customFormat="false" ht="15" hidden="false" customHeight="true" outlineLevel="0" collapsed="false">
      <c r="A77" s="23" t="n">
        <v>76</v>
      </c>
      <c r="B77" s="23" t="n">
        <f aca="false">ROUND(가정!$B$32*(A77+1)^가정!$B$33,0)</f>
        <v>121</v>
      </c>
      <c r="C77" s="47" t="n">
        <f aca="false">IF(B77&gt;=IFERROR(INDEX(가정!$B$42:$B$50,C76),1000000),C76+1,C76)</f>
        <v>4</v>
      </c>
      <c r="D77" s="25" t="n">
        <f aca="false">가정!$B$34^(C77-1)</f>
        <v>15.625</v>
      </c>
      <c r="E77" s="25" t="n">
        <f aca="false">(B77/10)^가정!$B$36</f>
        <v>54.0078131555827</v>
      </c>
      <c r="F77" s="24" t="n">
        <f aca="false">IF(C77&gt;C76,(F76+E77)*가정!$B$35,F76+E77)</f>
        <v>2012.72286516423</v>
      </c>
      <c r="G77" s="25" t="n">
        <f aca="false">(1+F77*가정!$B$37)*D77</f>
        <v>644.600895363823</v>
      </c>
      <c r="H77" s="25" t="n">
        <f aca="false">(1+F77*가정!$B$38)*D77^0.6</f>
        <v>162.300227265346</v>
      </c>
      <c r="I77" s="48" t="n">
        <f aca="false">가정!$B$5*가정!$B$7*가정!$B$6^(B77-1)/가정!$B$18</f>
        <v>68860.0349982103</v>
      </c>
      <c r="J77" s="48" t="n">
        <f aca="false">(가정!$B$12+가정!$B$15*(LOG(가정!$B$9*가정!$B$7*H77*가정!$B$10^B77/(가정!$B$10-1)*(가정!$B$14-1)/가정!$B$13)/LOG(가정!$B$14)))*G77</f>
        <v>259235.969747504</v>
      </c>
      <c r="K77" s="49" t="n">
        <f aca="false">IFERROR(J77/I77,0)</f>
        <v>3.76467961066592</v>
      </c>
      <c r="L77" s="25" t="n">
        <f aca="false">A77/가정!$B$39</f>
        <v>25.3333333333333</v>
      </c>
      <c r="M77" s="26" t="str">
        <f aca="false">IF(K77&lt;1,"미달",IF(K77&gt;4,"과잉","적정"))</f>
        <v>적정</v>
      </c>
    </row>
    <row r="78" customFormat="false" ht="15" hidden="false" customHeight="true" outlineLevel="0" collapsed="false">
      <c r="A78" s="23" t="n">
        <v>77</v>
      </c>
      <c r="B78" s="23" t="n">
        <f aca="false">ROUND(가정!$B$32*(A78+1)^가정!$B$33,0)</f>
        <v>122</v>
      </c>
      <c r="C78" s="47" t="n">
        <f aca="false">IF(B78&gt;=IFERROR(INDEX(가정!$B$42:$B$50,C77),1000000),C77+1,C77)</f>
        <v>4</v>
      </c>
      <c r="D78" s="25" t="n">
        <f aca="false">가정!$B$34^(C78-1)</f>
        <v>15.625</v>
      </c>
      <c r="E78" s="25" t="n">
        <f aca="false">(B78/10)^가정!$B$36</f>
        <v>54.7237347383587</v>
      </c>
      <c r="F78" s="24" t="n">
        <f aca="false">IF(C78&gt;C77,(F77+E78)*가정!$B$35,F77+E78)</f>
        <v>2067.44659990259</v>
      </c>
      <c r="G78" s="25" t="n">
        <f aca="false">(1+F78*가정!$B$37)*D78</f>
        <v>661.70206246956</v>
      </c>
      <c r="H78" s="25" t="n">
        <f aca="false">(1+F78*가정!$B$38)*D78^0.6</f>
        <v>166.571516722605</v>
      </c>
      <c r="I78" s="48" t="n">
        <f aca="false">가정!$B$5*가정!$B$7*가정!$B$6^(B78-1)/가정!$B$18</f>
        <v>75057.4381480493</v>
      </c>
      <c r="J78" s="48" t="n">
        <f aca="false">(가정!$B$12+가정!$B$15*(LOG(가정!$B$9*가정!$B$7*H78*가정!$B$10^B78/(가정!$B$10-1)*(가정!$B$14-1)/가정!$B$13)/LOG(가정!$B$14)))*G78</f>
        <v>267835.277069663</v>
      </c>
      <c r="K78" s="49" t="n">
        <f aca="false">IFERROR(J78/I78,0)</f>
        <v>3.56840419388367</v>
      </c>
      <c r="L78" s="25" t="n">
        <f aca="false">A78/가정!$B$39</f>
        <v>25.6666666666667</v>
      </c>
      <c r="M78" s="26" t="str">
        <f aca="false">IF(K78&lt;1,"미달",IF(K78&gt;4,"과잉","적정"))</f>
        <v>적정</v>
      </c>
    </row>
    <row r="79" customFormat="false" ht="15" hidden="false" customHeight="true" outlineLevel="0" collapsed="false">
      <c r="A79" s="23" t="n">
        <v>78</v>
      </c>
      <c r="B79" s="23" t="n">
        <f aca="false">ROUND(가정!$B$32*(A79+1)^가정!$B$33,0)</f>
        <v>122</v>
      </c>
      <c r="C79" s="47" t="n">
        <f aca="false">IF(B79&gt;=IFERROR(INDEX(가정!$B$42:$B$50,C78),1000000),C78+1,C78)</f>
        <v>4</v>
      </c>
      <c r="D79" s="25" t="n">
        <f aca="false">가정!$B$34^(C79-1)</f>
        <v>15.625</v>
      </c>
      <c r="E79" s="25" t="n">
        <f aca="false">(B79/10)^가정!$B$36</f>
        <v>54.7237347383587</v>
      </c>
      <c r="F79" s="24" t="n">
        <f aca="false">IF(C79&gt;C78,(F78+E79)*가정!$B$35,F78+E79)</f>
        <v>2122.17033464095</v>
      </c>
      <c r="G79" s="25" t="n">
        <f aca="false">(1+F79*가정!$B$37)*D79</f>
        <v>678.803229575297</v>
      </c>
      <c r="H79" s="25" t="n">
        <f aca="false">(1+F79*가정!$B$38)*D79^0.6</f>
        <v>170.842806179865</v>
      </c>
      <c r="I79" s="48" t="n">
        <f aca="false">가정!$B$5*가정!$B$7*가정!$B$6^(B79-1)/가정!$B$18</f>
        <v>75057.4381480493</v>
      </c>
      <c r="J79" s="48" t="n">
        <f aca="false">(가정!$B$12+가정!$B$15*(LOG(가정!$B$9*가정!$B$7*H79*가정!$B$10^B79/(가정!$B$10-1)*(가정!$B$14-1)/가정!$B$13)/LOG(가정!$B$14)))*G79</f>
        <v>275212.229044951</v>
      </c>
      <c r="K79" s="49" t="n">
        <f aca="false">IFERROR(J79/I79,0)</f>
        <v>3.66668828347299</v>
      </c>
      <c r="L79" s="25" t="n">
        <f aca="false">A79/가정!$B$39</f>
        <v>26</v>
      </c>
      <c r="M79" s="26" t="str">
        <f aca="false">IF(K79&lt;1,"미달",IF(K79&gt;4,"과잉","적정"))</f>
        <v>적정</v>
      </c>
    </row>
    <row r="80" customFormat="false" ht="15" hidden="false" customHeight="true" outlineLevel="0" collapsed="false">
      <c r="A80" s="23" t="n">
        <v>79</v>
      </c>
      <c r="B80" s="23" t="n">
        <f aca="false">ROUND(가정!$B$32*(A80+1)^가정!$B$33,0)</f>
        <v>123</v>
      </c>
      <c r="C80" s="47" t="n">
        <f aca="false">IF(B80&gt;=IFERROR(INDEX(가정!$B$42:$B$50,C79),1000000),C79+1,C79)</f>
        <v>4</v>
      </c>
      <c r="D80" s="25" t="n">
        <f aca="false">가정!$B$34^(C80-1)</f>
        <v>15.625</v>
      </c>
      <c r="E80" s="25" t="n">
        <f aca="false">(B80/10)^가정!$B$36</f>
        <v>55.4431859469118</v>
      </c>
      <c r="F80" s="24" t="n">
        <f aca="false">IF(C80&gt;C79,(F79+E80)*가정!$B$35,F79+E80)</f>
        <v>2177.61352058786</v>
      </c>
      <c r="G80" s="25" t="n">
        <f aca="false">(1+F80*가정!$B$37)*D80</f>
        <v>696.129225183707</v>
      </c>
      <c r="H80" s="25" t="n">
        <f aca="false">(1+F80*가정!$B$38)*D80^0.6</f>
        <v>175.170250144428</v>
      </c>
      <c r="I80" s="48" t="n">
        <f aca="false">가정!$B$5*가정!$B$7*가정!$B$6^(B80-1)/가정!$B$18</f>
        <v>81812.6075813737</v>
      </c>
      <c r="J80" s="48" t="n">
        <f aca="false">(가정!$B$12+가정!$B$15*(LOG(가정!$B$9*가정!$B$7*H80*가정!$B$10^B80/(가정!$B$10-1)*(가정!$B$14-1)/가정!$B$13)/LOG(가정!$B$14)))*G80</f>
        <v>284030.499468798</v>
      </c>
      <c r="K80" s="49" t="n">
        <f aca="false">IFERROR(J80/I80,0)</f>
        <v>3.47172040918377</v>
      </c>
      <c r="L80" s="25" t="n">
        <f aca="false">A80/가정!$B$39</f>
        <v>26.3333333333333</v>
      </c>
      <c r="M80" s="26" t="str">
        <f aca="false">IF(K80&lt;1,"미달",IF(K80&gt;4,"과잉","적정"))</f>
        <v>적정</v>
      </c>
    </row>
    <row r="81" customFormat="false" ht="15" hidden="false" customHeight="true" outlineLevel="0" collapsed="false">
      <c r="A81" s="23" t="n">
        <v>80</v>
      </c>
      <c r="B81" s="23" t="n">
        <f aca="false">ROUND(가정!$B$32*(A81+1)^가정!$B$33,0)</f>
        <v>123</v>
      </c>
      <c r="C81" s="47" t="n">
        <f aca="false">IF(B81&gt;=IFERROR(INDEX(가정!$B$42:$B$50,C80),1000000),C80+1,C80)</f>
        <v>4</v>
      </c>
      <c r="D81" s="25" t="n">
        <f aca="false">가정!$B$34^(C81-1)</f>
        <v>15.625</v>
      </c>
      <c r="E81" s="25" t="n">
        <f aca="false">(B81/10)^가정!$B$36</f>
        <v>55.4431859469118</v>
      </c>
      <c r="F81" s="24" t="n">
        <f aca="false">IF(C81&gt;C80,(F80+E81)*가정!$B$35,F80+E81)</f>
        <v>2233.05670653477</v>
      </c>
      <c r="G81" s="25" t="n">
        <f aca="false">(1+F81*가정!$B$37)*D81</f>
        <v>713.455220792117</v>
      </c>
      <c r="H81" s="25" t="n">
        <f aca="false">(1+F81*가정!$B$38)*D81^0.6</f>
        <v>179.497694108992</v>
      </c>
      <c r="I81" s="48" t="n">
        <f aca="false">가정!$B$5*가정!$B$7*가정!$B$6^(B81-1)/가정!$B$18</f>
        <v>81812.6075813737</v>
      </c>
      <c r="J81" s="48" t="n">
        <f aca="false">(가정!$B$12+가정!$B$15*(LOG(가정!$B$9*가정!$B$7*H81*가정!$B$10^B81/(가정!$B$10-1)*(가정!$B$14-1)/가정!$B$13)/LOG(가정!$B$14)))*G81</f>
        <v>291560.651614553</v>
      </c>
      <c r="K81" s="49" t="n">
        <f aca="false">IFERROR(J81/I81,0)</f>
        <v>3.56376187282084</v>
      </c>
      <c r="L81" s="25" t="n">
        <f aca="false">A81/가정!$B$39</f>
        <v>26.6666666666667</v>
      </c>
      <c r="M81" s="26" t="str">
        <f aca="false">IF(K81&lt;1,"미달",IF(K81&gt;4,"과잉","적정"))</f>
        <v>적정</v>
      </c>
    </row>
    <row r="82" customFormat="false" ht="15" hidden="false" customHeight="true" outlineLevel="0" collapsed="false">
      <c r="A82" s="23" t="n">
        <v>81</v>
      </c>
      <c r="B82" s="23" t="n">
        <f aca="false">ROUND(가정!$B$32*(A82+1)^가정!$B$33,0)</f>
        <v>123</v>
      </c>
      <c r="C82" s="47" t="n">
        <f aca="false">IF(B82&gt;=IFERROR(INDEX(가정!$B$42:$B$50,C81),1000000),C81+1,C81)</f>
        <v>4</v>
      </c>
      <c r="D82" s="25" t="n">
        <f aca="false">가정!$B$34^(C82-1)</f>
        <v>15.625</v>
      </c>
      <c r="E82" s="25" t="n">
        <f aca="false">(B82/10)^가정!$B$36</f>
        <v>55.4431859469118</v>
      </c>
      <c r="F82" s="24" t="n">
        <f aca="false">IF(C82&gt;C81,(F81+E82)*가정!$B$35,F81+E82)</f>
        <v>2288.49989248169</v>
      </c>
      <c r="G82" s="25" t="n">
        <f aca="false">(1+F82*가정!$B$37)*D82</f>
        <v>730.781216400527</v>
      </c>
      <c r="H82" s="25" t="n">
        <f aca="false">(1+F82*가정!$B$38)*D82^0.6</f>
        <v>183.825138073556</v>
      </c>
      <c r="I82" s="48" t="n">
        <f aca="false">가정!$B$5*가정!$B$7*가정!$B$6^(B82-1)/가정!$B$18</f>
        <v>81812.6075813737</v>
      </c>
      <c r="J82" s="48" t="n">
        <f aca="false">(가정!$B$12+가정!$B$15*(LOG(가정!$B$9*가정!$B$7*H82*가정!$B$10^B82/(가정!$B$10-1)*(가정!$B$14-1)/가정!$B$13)/LOG(가정!$B$14)))*G82</f>
        <v>299101.942369248</v>
      </c>
      <c r="K82" s="49" t="n">
        <f aca="false">IFERROR(J82/I82,0)</f>
        <v>3.65593948428731</v>
      </c>
      <c r="L82" s="25" t="n">
        <f aca="false">A82/가정!$B$39</f>
        <v>27</v>
      </c>
      <c r="M82" s="26" t="str">
        <f aca="false">IF(K82&lt;1,"미달",IF(K82&gt;4,"과잉","적정"))</f>
        <v>적정</v>
      </c>
    </row>
    <row r="83" customFormat="false" ht="15" hidden="false" customHeight="true" outlineLevel="0" collapsed="false">
      <c r="A83" s="23" t="n">
        <v>82</v>
      </c>
      <c r="B83" s="23" t="n">
        <f aca="false">ROUND(가정!$B$32*(A83+1)^가정!$B$33,0)</f>
        <v>124</v>
      </c>
      <c r="C83" s="47" t="n">
        <f aca="false">IF(B83&gt;=IFERROR(INDEX(가정!$B$42:$B$50,C82),1000000),C82+1,C82)</f>
        <v>4</v>
      </c>
      <c r="D83" s="25" t="n">
        <f aca="false">가정!$B$34^(C83-1)</f>
        <v>15.625</v>
      </c>
      <c r="E83" s="25" t="n">
        <f aca="false">(B83/10)^가정!$B$36</f>
        <v>56.1661552744873</v>
      </c>
      <c r="F83" s="24" t="n">
        <f aca="false">IF(C83&gt;C82,(F82+E83)*가정!$B$35,F82+E83)</f>
        <v>2344.66604775617</v>
      </c>
      <c r="G83" s="25" t="n">
        <f aca="false">(1+F83*가정!$B$37)*D83</f>
        <v>748.333139923804</v>
      </c>
      <c r="H83" s="25" t="n">
        <f aca="false">(1+F83*가정!$B$38)*D83^0.6</f>
        <v>188.209011141169</v>
      </c>
      <c r="I83" s="48" t="n">
        <f aca="false">가정!$B$5*가정!$B$7*가정!$B$6^(B83-1)/가정!$B$18</f>
        <v>89175.7422636973</v>
      </c>
      <c r="J83" s="48" t="n">
        <f aca="false">(가정!$B$12+가정!$B$15*(LOG(가정!$B$9*가정!$B$7*H83*가정!$B$10^B83/(가정!$B$10-1)*(가정!$B$14-1)/가정!$B$13)/LOG(가정!$B$14)))*G83</f>
        <v>308185.302827642</v>
      </c>
      <c r="K83" s="49" t="n">
        <f aca="false">IFERROR(J83/I83,0)</f>
        <v>3.45593201698643</v>
      </c>
      <c r="L83" s="25" t="n">
        <f aca="false">A83/가정!$B$39</f>
        <v>27.3333333333333</v>
      </c>
      <c r="M83" s="26" t="str">
        <f aca="false">IF(K83&lt;1,"미달",IF(K83&gt;4,"과잉","적정"))</f>
        <v>적정</v>
      </c>
    </row>
    <row r="84" customFormat="false" ht="15" hidden="false" customHeight="true" outlineLevel="0" collapsed="false">
      <c r="A84" s="23" t="n">
        <v>83</v>
      </c>
      <c r="B84" s="23" t="n">
        <f aca="false">ROUND(가정!$B$32*(A84+1)^가정!$B$33,0)</f>
        <v>124</v>
      </c>
      <c r="C84" s="47" t="n">
        <f aca="false">IF(B84&gt;=IFERROR(INDEX(가정!$B$42:$B$50,C83),1000000),C83+1,C83)</f>
        <v>4</v>
      </c>
      <c r="D84" s="25" t="n">
        <f aca="false">가정!$B$34^(C84-1)</f>
        <v>15.625</v>
      </c>
      <c r="E84" s="25" t="n">
        <f aca="false">(B84/10)^가정!$B$36</f>
        <v>56.1661552744873</v>
      </c>
      <c r="F84" s="24" t="n">
        <f aca="false">IF(C84&gt;C83,(F83+E84)*가정!$B$35,F83+E84)</f>
        <v>2400.83220303066</v>
      </c>
      <c r="G84" s="25" t="n">
        <f aca="false">(1+F84*가정!$B$37)*D84</f>
        <v>765.885063447082</v>
      </c>
      <c r="H84" s="25" t="n">
        <f aca="false">(1+F84*가정!$B$38)*D84^0.6</f>
        <v>192.592884208782</v>
      </c>
      <c r="I84" s="48" t="n">
        <f aca="false">가정!$B$5*가정!$B$7*가정!$B$6^(B84-1)/가정!$B$18</f>
        <v>89175.7422636973</v>
      </c>
      <c r="J84" s="48" t="n">
        <f aca="false">(가정!$B$12+가정!$B$15*(LOG(가정!$B$9*가정!$B$7*H84*가정!$B$10^B84/(가정!$B$10-1)*(가정!$B$14-1)/가정!$B$13)/LOG(가정!$B$14)))*G84</f>
        <v>315880.518143696</v>
      </c>
      <c r="K84" s="49" t="n">
        <f aca="false">IFERROR(J84/I84,0)</f>
        <v>3.54222471408895</v>
      </c>
      <c r="L84" s="25" t="n">
        <f aca="false">A84/가정!$B$39</f>
        <v>27.6666666666667</v>
      </c>
      <c r="M84" s="26" t="str">
        <f aca="false">IF(K84&lt;1,"미달",IF(K84&gt;4,"과잉","적정"))</f>
        <v>적정</v>
      </c>
    </row>
    <row r="85" customFormat="false" ht="15" hidden="false" customHeight="true" outlineLevel="0" collapsed="false">
      <c r="A85" s="23" t="n">
        <v>84</v>
      </c>
      <c r="B85" s="23" t="n">
        <f aca="false">ROUND(가정!$B$32*(A85+1)^가정!$B$33,0)</f>
        <v>125</v>
      </c>
      <c r="C85" s="47" t="n">
        <f aca="false">IF(B85&gt;=IFERROR(INDEX(가정!$B$42:$B$50,C84),1000000),C84+1,C84)</f>
        <v>5</v>
      </c>
      <c r="D85" s="25" t="n">
        <f aca="false">가정!$B$34^(C85-1)</f>
        <v>39.0625</v>
      </c>
      <c r="E85" s="25" t="n">
        <f aca="false">(B85/10)^가정!$B$36</f>
        <v>56.892631344565</v>
      </c>
      <c r="F85" s="24" t="n">
        <f aca="false">IF(C85&gt;C84,(F84+E85)*가정!$B$35,F84+E85)</f>
        <v>368.658725156284</v>
      </c>
      <c r="G85" s="25" t="n">
        <f aca="false">(1+F85*가정!$B$37)*D85</f>
        <v>327.077129028347</v>
      </c>
      <c r="H85" s="25" t="n">
        <f aca="false">(1+F85*가정!$B$38)*D85^0.6</f>
        <v>58.8791157958117</v>
      </c>
      <c r="I85" s="48" t="n">
        <f aca="false">가정!$B$5*가정!$B$7*가정!$B$6^(B85-1)/가정!$B$18</f>
        <v>97201.5590674301</v>
      </c>
      <c r="J85" s="48" t="n">
        <f aca="false">(가정!$B$12+가정!$B$15*(LOG(가정!$B$9*가정!$B$7*H85*가정!$B$10^B85/(가정!$B$10-1)*(가정!$B$14-1)/가정!$B$13)/LOG(가정!$B$14)))*G85</f>
        <v>125264.528245909</v>
      </c>
      <c r="K85" s="49" t="n">
        <f aca="false">IFERROR(J85/I85,0)</f>
        <v>1.28870904384374</v>
      </c>
      <c r="L85" s="25" t="n">
        <f aca="false">A85/가정!$B$39</f>
        <v>28</v>
      </c>
      <c r="M85" s="26" t="str">
        <f aca="false">IF(K85&lt;1,"미달",IF(K85&gt;4,"과잉","적정"))</f>
        <v>적정</v>
      </c>
    </row>
    <row r="86" customFormat="false" ht="15" hidden="false" customHeight="true" outlineLevel="0" collapsed="false">
      <c r="A86" s="23" t="n">
        <v>85</v>
      </c>
      <c r="B86" s="23" t="n">
        <f aca="false">ROUND(가정!$B$32*(A86+1)^가정!$B$33,0)</f>
        <v>125</v>
      </c>
      <c r="C86" s="47" t="n">
        <f aca="false">IF(B86&gt;=IFERROR(INDEX(가정!$B$42:$B$50,C85),1000000),C85+1,C85)</f>
        <v>5</v>
      </c>
      <c r="D86" s="25" t="n">
        <f aca="false">가정!$B$34^(C86-1)</f>
        <v>39.0625</v>
      </c>
      <c r="E86" s="25" t="n">
        <f aca="false">(B86/10)^가정!$B$36</f>
        <v>56.892631344565</v>
      </c>
      <c r="F86" s="24" t="n">
        <f aca="false">IF(C86&gt;C85,(F85+E86)*가정!$B$35,F85+E86)</f>
        <v>425.551356500849</v>
      </c>
      <c r="G86" s="25" t="n">
        <f aca="false">(1+F86*가정!$B$37)*D86</f>
        <v>371.524497266288</v>
      </c>
      <c r="H86" s="25" t="n">
        <f aca="false">(1+F86*가정!$B$38)*D86^0.6</f>
        <v>66.5740214727759</v>
      </c>
      <c r="I86" s="48" t="n">
        <f aca="false">가정!$B$5*가정!$B$7*가정!$B$6^(B86-1)/가정!$B$18</f>
        <v>97201.5590674301</v>
      </c>
      <c r="J86" s="48" t="n">
        <f aca="false">(가정!$B$12+가정!$B$15*(LOG(가정!$B$9*가정!$B$7*H86*가정!$B$10^B86/(가정!$B$10-1)*(가정!$B$14-1)/가정!$B$13)/LOG(가정!$B$14)))*G86</f>
        <v>143495.051104937</v>
      </c>
      <c r="K86" s="49" t="n">
        <f aca="false">IFERROR(J86/I86,0)</f>
        <v>1.47626285505763</v>
      </c>
      <c r="L86" s="25" t="n">
        <f aca="false">A86/가정!$B$39</f>
        <v>28.3333333333333</v>
      </c>
      <c r="M86" s="26" t="str">
        <f aca="false">IF(K86&lt;1,"미달",IF(K86&gt;4,"과잉","적정"))</f>
        <v>적정</v>
      </c>
    </row>
    <row r="87" customFormat="false" ht="15" hidden="false" customHeight="true" outlineLevel="0" collapsed="false">
      <c r="A87" s="23" t="n">
        <v>86</v>
      </c>
      <c r="B87" s="23" t="n">
        <f aca="false">ROUND(가정!$B$32*(A87+1)^가정!$B$33,0)</f>
        <v>125</v>
      </c>
      <c r="C87" s="47" t="n">
        <f aca="false">IF(B87&gt;=IFERROR(INDEX(가정!$B$42:$B$50,C86),1000000),C86+1,C86)</f>
        <v>5</v>
      </c>
      <c r="D87" s="25" t="n">
        <f aca="false">가정!$B$34^(C87-1)</f>
        <v>39.0625</v>
      </c>
      <c r="E87" s="25" t="n">
        <f aca="false">(B87/10)^가정!$B$36</f>
        <v>56.892631344565</v>
      </c>
      <c r="F87" s="24" t="n">
        <f aca="false">IF(C87&gt;C86,(F86+E87)*가정!$B$35,F86+E87)</f>
        <v>482.443987845414</v>
      </c>
      <c r="G87" s="25" t="n">
        <f aca="false">(1+F87*가정!$B$37)*D87</f>
        <v>415.97186550423</v>
      </c>
      <c r="H87" s="25" t="n">
        <f aca="false">(1+F87*가정!$B$38)*D87^0.6</f>
        <v>74.26892714974</v>
      </c>
      <c r="I87" s="48" t="n">
        <f aca="false">가정!$B$5*가정!$B$7*가정!$B$6^(B87-1)/가정!$B$18</f>
        <v>97201.5590674301</v>
      </c>
      <c r="J87" s="48" t="n">
        <f aca="false">(가정!$B$12+가정!$B$15*(LOG(가정!$B$9*가정!$B$7*H87*가정!$B$10^B87/(가정!$B$10-1)*(가정!$B$14-1)/가정!$B$13)/LOG(가정!$B$14)))*G87</f>
        <v>161866.510256206</v>
      </c>
      <c r="K87" s="49" t="n">
        <f aca="false">IFERROR(J87/I87,0)</f>
        <v>1.66526660486913</v>
      </c>
      <c r="L87" s="25" t="n">
        <f aca="false">A87/가정!$B$39</f>
        <v>28.6666666666667</v>
      </c>
      <c r="M87" s="26" t="str">
        <f aca="false">IF(K87&lt;1,"미달",IF(K87&gt;4,"과잉","적정"))</f>
        <v>적정</v>
      </c>
    </row>
    <row r="88" customFormat="false" ht="15" hidden="false" customHeight="true" outlineLevel="0" collapsed="false">
      <c r="A88" s="23" t="n">
        <v>87</v>
      </c>
      <c r="B88" s="23" t="n">
        <f aca="false">ROUND(가정!$B$32*(A88+1)^가정!$B$33,0)</f>
        <v>126</v>
      </c>
      <c r="C88" s="47" t="n">
        <f aca="false">IF(B88&gt;=IFERROR(INDEX(가정!$B$42:$B$50,C87),1000000),C87+1,C87)</f>
        <v>5</v>
      </c>
      <c r="D88" s="25" t="n">
        <f aca="false">가정!$B$34^(C88-1)</f>
        <v>39.0625</v>
      </c>
      <c r="E88" s="25" t="n">
        <f aca="false">(B88/10)^가정!$B$36</f>
        <v>57.6226029083526</v>
      </c>
      <c r="F88" s="24" t="n">
        <f aca="false">IF(C88&gt;C87,(F87+E88)*가정!$B$35,F87+E88)</f>
        <v>540.066590753767</v>
      </c>
      <c r="G88" s="25" t="n">
        <f aca="false">(1+F88*가정!$B$37)*D88</f>
        <v>460.98952402638</v>
      </c>
      <c r="H88" s="25" t="n">
        <f aca="false">(1+F88*가정!$B$38)*D88^0.6</f>
        <v>82.0625637554284</v>
      </c>
      <c r="I88" s="48" t="n">
        <f aca="false">가정!$B$5*가정!$B$7*가정!$B$6^(B88-1)/가정!$B$18</f>
        <v>105949.699383499</v>
      </c>
      <c r="J88" s="48" t="n">
        <f aca="false">(가정!$B$12+가정!$B$15*(LOG(가정!$B$9*가정!$B$7*H88*가정!$B$10^B88/(가정!$B$10-1)*(가정!$B$14-1)/가정!$B$13)/LOG(가정!$B$14)))*G88</f>
        <v>181484.450240956</v>
      </c>
      <c r="K88" s="49" t="n">
        <f aca="false">IFERROR(J88/I88,0)</f>
        <v>1.71293029897187</v>
      </c>
      <c r="L88" s="25" t="n">
        <f aca="false">A88/가정!$B$39</f>
        <v>29</v>
      </c>
      <c r="M88" s="26" t="str">
        <f aca="false">IF(K88&lt;1,"미달",IF(K88&gt;4,"과잉","적정"))</f>
        <v>적정</v>
      </c>
    </row>
    <row r="89" customFormat="false" ht="15" hidden="false" customHeight="true" outlineLevel="0" collapsed="false">
      <c r="A89" s="23" t="n">
        <v>88</v>
      </c>
      <c r="B89" s="23" t="n">
        <f aca="false">ROUND(가정!$B$32*(A89+1)^가정!$B$33,0)</f>
        <v>126</v>
      </c>
      <c r="C89" s="47" t="n">
        <f aca="false">IF(B89&gt;=IFERROR(INDEX(가정!$B$42:$B$50,C88),1000000),C88+1,C88)</f>
        <v>5</v>
      </c>
      <c r="D89" s="25" t="n">
        <f aca="false">가정!$B$34^(C89-1)</f>
        <v>39.0625</v>
      </c>
      <c r="E89" s="25" t="n">
        <f aca="false">(B89/10)^가정!$B$36</f>
        <v>57.6226029083526</v>
      </c>
      <c r="F89" s="24" t="n">
        <f aca="false">IF(C89&gt;C88,(F88+E89)*가정!$B$35,F88+E89)</f>
        <v>597.689193662119</v>
      </c>
      <c r="G89" s="25" t="n">
        <f aca="false">(1+F89*가정!$B$37)*D89</f>
        <v>506.007182548531</v>
      </c>
      <c r="H89" s="25" t="n">
        <f aca="false">(1+F89*가정!$B$38)*D89^0.6</f>
        <v>89.8562003611167</v>
      </c>
      <c r="I89" s="48" t="n">
        <f aca="false">가정!$B$5*가정!$B$7*가정!$B$6^(B89-1)/가정!$B$18</f>
        <v>105949.699383499</v>
      </c>
      <c r="J89" s="48" t="n">
        <f aca="false">(가정!$B$12+가정!$B$15*(LOG(가정!$B$9*가정!$B$7*H89*가정!$B$10^B89/(가정!$B$10-1)*(가정!$B$14-1)/가정!$B$13)/LOG(가정!$B$14)))*G89</f>
        <v>200422.504414194</v>
      </c>
      <c r="K89" s="49" t="n">
        <f aca="false">IFERROR(J89/I89,0)</f>
        <v>1.89167600833617</v>
      </c>
      <c r="L89" s="25" t="n">
        <f aca="false">A89/가정!$B$39</f>
        <v>29.3333333333333</v>
      </c>
      <c r="M89" s="26" t="str">
        <f aca="false">IF(K89&lt;1,"미달",IF(K89&gt;4,"과잉","적정"))</f>
        <v>적정</v>
      </c>
    </row>
    <row r="90" customFormat="false" ht="15" hidden="false" customHeight="true" outlineLevel="0" collapsed="false">
      <c r="A90" s="23" t="n">
        <v>89</v>
      </c>
      <c r="B90" s="23" t="n">
        <f aca="false">ROUND(가정!$B$32*(A90+1)^가정!$B$33,0)</f>
        <v>126</v>
      </c>
      <c r="C90" s="47" t="n">
        <f aca="false">IF(B90&gt;=IFERROR(INDEX(가정!$B$42:$B$50,C89),1000000),C89+1,C89)</f>
        <v>5</v>
      </c>
      <c r="D90" s="25" t="n">
        <f aca="false">가정!$B$34^(C90-1)</f>
        <v>39.0625</v>
      </c>
      <c r="E90" s="25" t="n">
        <f aca="false">(B90/10)^가정!$B$36</f>
        <v>57.6226029083526</v>
      </c>
      <c r="F90" s="24" t="n">
        <f aca="false">IF(C90&gt;C89,(F89+E90)*가정!$B$35,F89+E90)</f>
        <v>655.311796570472</v>
      </c>
      <c r="G90" s="25" t="n">
        <f aca="false">(1+F90*가정!$B$37)*D90</f>
        <v>551.024841070681</v>
      </c>
      <c r="H90" s="25" t="n">
        <f aca="false">(1+F90*가정!$B$38)*D90^0.6</f>
        <v>97.6498369668051</v>
      </c>
      <c r="I90" s="48" t="n">
        <f aca="false">가정!$B$5*가정!$B$7*가정!$B$6^(B90-1)/가정!$B$18</f>
        <v>105949.699383499</v>
      </c>
      <c r="J90" s="48" t="n">
        <f aca="false">(가정!$B$12+가정!$B$15*(LOG(가정!$B$9*가정!$B$7*H90*가정!$B$10^B90/(가정!$B$10-1)*(가정!$B$14-1)/가정!$B$13)/LOG(가정!$B$14)))*G90</f>
        <v>219466.652318186</v>
      </c>
      <c r="K90" s="49" t="n">
        <f aca="false">IFERROR(J90/I90,0)</f>
        <v>2.07142307713208</v>
      </c>
      <c r="L90" s="25" t="n">
        <f aca="false">A90/가정!$B$39</f>
        <v>29.6666666666667</v>
      </c>
      <c r="M90" s="26" t="str">
        <f aca="false">IF(K90&lt;1,"미달",IF(K90&gt;4,"과잉","적정"))</f>
        <v>적정</v>
      </c>
    </row>
    <row r="91" customFormat="false" ht="15" hidden="false" customHeight="true" outlineLevel="0" collapsed="false">
      <c r="A91" s="27" t="n">
        <v>90</v>
      </c>
      <c r="B91" s="27" t="n">
        <f aca="false">ROUND(가정!$B$32*(A91+1)^가정!$B$33,0)</f>
        <v>127</v>
      </c>
      <c r="C91" s="50" t="n">
        <f aca="false">IF(B91&gt;=IFERROR(INDEX(가정!$B$42:$B$50,C90),1000000),C90+1,C90)</f>
        <v>5</v>
      </c>
      <c r="D91" s="29" t="n">
        <f aca="false">가정!$B$34^(C91-1)</f>
        <v>39.0625</v>
      </c>
      <c r="E91" s="29" t="n">
        <f aca="false">(B91/10)^가정!$B$36</f>
        <v>58.3560588423466</v>
      </c>
      <c r="F91" s="28" t="n">
        <f aca="false">IF(C91&gt;C90,(F90+E91)*가정!$B$35,F90+E91)</f>
        <v>713.667855412818</v>
      </c>
      <c r="G91" s="29" t="n">
        <f aca="false">(1+F91*가정!$B$37)*D91</f>
        <v>596.615512041264</v>
      </c>
      <c r="H91" s="29" t="n">
        <f aca="false">(1+F91*가정!$B$38)*D91^0.6</f>
        <v>105.542675773146</v>
      </c>
      <c r="I91" s="51" t="n">
        <f aca="false">가정!$B$5*가정!$B$7*가정!$B$6^(B91-1)/가정!$B$18</f>
        <v>115485.172328014</v>
      </c>
      <c r="J91" s="51" t="n">
        <f aca="false">(가정!$B$12+가정!$B$15*(LOG(가정!$B$9*가정!$B$7*H91*가정!$B$10^B91/(가정!$B$10-1)*(가정!$B$14-1)/가정!$B$13)/LOG(가정!$B$14)))*G91</f>
        <v>239994.645941759</v>
      </c>
      <c r="K91" s="52" t="n">
        <f aca="false">IFERROR(J91/I91,0)</f>
        <v>2.07814251045234</v>
      </c>
      <c r="L91" s="29" t="n">
        <f aca="false">A91/가정!$B$39</f>
        <v>30</v>
      </c>
      <c r="M91" s="30" t="str">
        <f aca="false">IF(K91&lt;1,"미달",IF(K91&gt;4,"과잉","적정"))</f>
        <v>적정</v>
      </c>
    </row>
    <row r="92" customFormat="false" ht="15" hidden="false" customHeight="true" outlineLevel="0" collapsed="false">
      <c r="A92" s="23" t="n">
        <v>91</v>
      </c>
      <c r="B92" s="23" t="n">
        <f aca="false">ROUND(가정!$B$32*(A92+1)^가정!$B$33,0)</f>
        <v>127</v>
      </c>
      <c r="C92" s="47" t="n">
        <f aca="false">IF(B92&gt;=IFERROR(INDEX(가정!$B$42:$B$50,C91),1000000),C91+1,C91)</f>
        <v>5</v>
      </c>
      <c r="D92" s="25" t="n">
        <f aca="false">가정!$B$34^(C92-1)</f>
        <v>39.0625</v>
      </c>
      <c r="E92" s="25" t="n">
        <f aca="false">(B92/10)^가정!$B$36</f>
        <v>58.3560588423466</v>
      </c>
      <c r="F92" s="24" t="n">
        <f aca="false">IF(C92&gt;C91,(F91+E92)*가정!$B$35,F91+E92)</f>
        <v>772.023914255165</v>
      </c>
      <c r="G92" s="25" t="n">
        <f aca="false">(1+F92*가정!$B$37)*D92</f>
        <v>642.206183011848</v>
      </c>
      <c r="H92" s="25" t="n">
        <f aca="false">(1+F92*가정!$B$38)*D92^0.6</f>
        <v>113.435514579487</v>
      </c>
      <c r="I92" s="48" t="n">
        <f aca="false">가정!$B$5*가정!$B$7*가정!$B$6^(B92-1)/가정!$B$18</f>
        <v>115485.172328014</v>
      </c>
      <c r="J92" s="48" t="n">
        <f aca="false">(가정!$B$12+가정!$B$15*(LOG(가정!$B$9*가정!$B$7*H92*가정!$B$10^B92/(가정!$B$10-1)*(가정!$B$14-1)/가정!$B$13)/LOG(가정!$B$14)))*G92</f>
        <v>259560.001191727</v>
      </c>
      <c r="K92" s="49" t="n">
        <f aca="false">IFERROR(J92/I92,0)</f>
        <v>2.24756127526481</v>
      </c>
      <c r="L92" s="25" t="n">
        <f aca="false">A92/가정!$B$39</f>
        <v>30.3333333333333</v>
      </c>
      <c r="M92" s="26" t="str">
        <f aca="false">IF(K92&lt;1,"미달",IF(K92&gt;4,"과잉","적정"))</f>
        <v>적정</v>
      </c>
    </row>
    <row r="93" customFormat="false" ht="15" hidden="false" customHeight="true" outlineLevel="0" collapsed="false">
      <c r="A93" s="23" t="n">
        <v>92</v>
      </c>
      <c r="B93" s="23" t="n">
        <f aca="false">ROUND(가정!$B$32*(A93+1)^가정!$B$33,0)</f>
        <v>128</v>
      </c>
      <c r="C93" s="47" t="n">
        <f aca="false">IF(B93&gt;=IFERROR(INDEX(가정!$B$42:$B$50,C92),1000000),C92+1,C92)</f>
        <v>5</v>
      </c>
      <c r="D93" s="25" t="n">
        <f aca="false">가정!$B$34^(C93-1)</f>
        <v>39.0625</v>
      </c>
      <c r="E93" s="25" t="n">
        <f aca="false">(B93/10)^가정!$B$36</f>
        <v>59.0929881459595</v>
      </c>
      <c r="F93" s="24" t="n">
        <f aca="false">IF(C93&gt;C92,(F92+E93)*가정!$B$35,F92+E93)</f>
        <v>831.116902401124</v>
      </c>
      <c r="G93" s="25" t="n">
        <f aca="false">(1+F93*가정!$B$37)*D93</f>
        <v>688.372580000878</v>
      </c>
      <c r="H93" s="25" t="n">
        <f aca="false">(1+F93*가정!$B$38)*D93^0.6</f>
        <v>121.428025370545</v>
      </c>
      <c r="I93" s="48" t="n">
        <f aca="false">가정!$B$5*가정!$B$7*가정!$B$6^(B93-1)/가정!$B$18</f>
        <v>125878.837837535</v>
      </c>
      <c r="J93" s="48" t="n">
        <f aca="false">(가정!$B$12+가정!$B$15*(LOG(가정!$B$9*가정!$B$7*H93*가정!$B$10^B93/(가정!$B$10-1)*(가정!$B$14-1)/가정!$B$13)/LOG(가정!$B$14)))*G93</f>
        <v>280777.604239399</v>
      </c>
      <c r="K93" s="49" t="n">
        <f aca="false">IFERROR(J93/I93,0)</f>
        <v>2.23053858029563</v>
      </c>
      <c r="L93" s="25" t="n">
        <f aca="false">A93/가정!$B$39</f>
        <v>30.6666666666667</v>
      </c>
      <c r="M93" s="26" t="str">
        <f aca="false">IF(K93&lt;1,"미달",IF(K93&gt;4,"과잉","적정"))</f>
        <v>적정</v>
      </c>
    </row>
    <row r="94" customFormat="false" ht="15" hidden="false" customHeight="true" outlineLevel="0" collapsed="false">
      <c r="A94" s="23" t="n">
        <v>93</v>
      </c>
      <c r="B94" s="23" t="n">
        <f aca="false">ROUND(가정!$B$32*(A94+1)^가정!$B$33,0)</f>
        <v>128</v>
      </c>
      <c r="C94" s="47" t="n">
        <f aca="false">IF(B94&gt;=IFERROR(INDEX(가정!$B$42:$B$50,C93),1000000),C93+1,C93)</f>
        <v>5</v>
      </c>
      <c r="D94" s="25" t="n">
        <f aca="false">가정!$B$34^(C94-1)</f>
        <v>39.0625</v>
      </c>
      <c r="E94" s="25" t="n">
        <f aca="false">(B94/10)^가정!$B$36</f>
        <v>59.0929881459595</v>
      </c>
      <c r="F94" s="24" t="n">
        <f aca="false">IF(C94&gt;C93,(F93+E94)*가정!$B$35,F93+E94)</f>
        <v>890.209890547084</v>
      </c>
      <c r="G94" s="25" t="n">
        <f aca="false">(1+F94*가정!$B$37)*D94</f>
        <v>734.538976989909</v>
      </c>
      <c r="H94" s="25" t="n">
        <f aca="false">(1+F94*가정!$B$38)*D94^0.6</f>
        <v>129.420536161603</v>
      </c>
      <c r="I94" s="48" t="n">
        <f aca="false">가정!$B$5*가정!$B$7*가정!$B$6^(B94-1)/가정!$B$18</f>
        <v>125878.837837535</v>
      </c>
      <c r="J94" s="48" t="n">
        <f aca="false">(가정!$B$12+가정!$B$15*(LOG(가정!$B$9*가정!$B$7*H94*가정!$B$10^B94/(가정!$B$10-1)*(가정!$B$14-1)/가정!$B$13)/LOG(가정!$B$14)))*G94</f>
        <v>300847.730986195</v>
      </c>
      <c r="K94" s="49" t="n">
        <f aca="false">IFERROR(J94/I94,0)</f>
        <v>2.38997861876103</v>
      </c>
      <c r="L94" s="25" t="n">
        <f aca="false">A94/가정!$B$39</f>
        <v>31</v>
      </c>
      <c r="M94" s="26" t="str">
        <f aca="false">IF(K94&lt;1,"미달",IF(K94&gt;4,"과잉","적정"))</f>
        <v>적정</v>
      </c>
    </row>
    <row r="95" customFormat="false" ht="15" hidden="false" customHeight="true" outlineLevel="0" collapsed="false">
      <c r="A95" s="23" t="n">
        <v>94</v>
      </c>
      <c r="B95" s="23" t="n">
        <f aca="false">ROUND(가정!$B$32*(A95+1)^가정!$B$33,0)</f>
        <v>128</v>
      </c>
      <c r="C95" s="47" t="n">
        <f aca="false">IF(B95&gt;=IFERROR(INDEX(가정!$B$42:$B$50,C94),1000000),C94+1,C94)</f>
        <v>5</v>
      </c>
      <c r="D95" s="25" t="n">
        <f aca="false">가정!$B$34^(C95-1)</f>
        <v>39.0625</v>
      </c>
      <c r="E95" s="25" t="n">
        <f aca="false">(B95/10)^가정!$B$36</f>
        <v>59.0929881459595</v>
      </c>
      <c r="F95" s="24" t="n">
        <f aca="false">IF(C95&gt;C94,(F94+E95)*가정!$B$35,F94+E95)</f>
        <v>949.302878693043</v>
      </c>
      <c r="G95" s="25" t="n">
        <f aca="false">(1+F95*가정!$B$37)*D95</f>
        <v>780.70537397894</v>
      </c>
      <c r="H95" s="25" t="n">
        <f aca="false">(1+F95*가정!$B$38)*D95^0.6</f>
        <v>137.413046952661</v>
      </c>
      <c r="I95" s="48" t="n">
        <f aca="false">가정!$B$5*가정!$B$7*가정!$B$6^(B95-1)/가정!$B$18</f>
        <v>125878.837837535</v>
      </c>
      <c r="J95" s="48" t="n">
        <f aca="false">(가정!$B$12+가정!$B$15*(LOG(가정!$B$9*가정!$B$7*H95*가정!$B$10^B95/(가정!$B$10-1)*(가정!$B$14-1)/가정!$B$13)/LOG(가정!$B$14)))*G95</f>
        <v>320994.695123637</v>
      </c>
      <c r="K95" s="49" t="n">
        <f aca="false">IFERROR(J95/I95,0)</f>
        <v>2.55002906475772</v>
      </c>
      <c r="L95" s="25" t="n">
        <f aca="false">A95/가정!$B$39</f>
        <v>31.3333333333333</v>
      </c>
      <c r="M95" s="26" t="str">
        <f aca="false">IF(K95&lt;1,"미달",IF(K95&gt;4,"과잉","적정"))</f>
        <v>적정</v>
      </c>
    </row>
    <row r="96" customFormat="false" ht="15" hidden="false" customHeight="true" outlineLevel="0" collapsed="false">
      <c r="A96" s="23" t="n">
        <v>95</v>
      </c>
      <c r="B96" s="23" t="n">
        <f aca="false">ROUND(가정!$B$32*(A96+1)^가정!$B$33,0)</f>
        <v>129</v>
      </c>
      <c r="C96" s="47" t="n">
        <f aca="false">IF(B96&gt;=IFERROR(INDEX(가정!$B$42:$B$50,C95),1000000),C95+1,C95)</f>
        <v>5</v>
      </c>
      <c r="D96" s="25" t="n">
        <f aca="false">가정!$B$34^(C96-1)</f>
        <v>39.0625</v>
      </c>
      <c r="E96" s="25" t="n">
        <f aca="false">(B96/10)^가정!$B$36</f>
        <v>59.8333799392089</v>
      </c>
      <c r="F96" s="24" t="n">
        <f aca="false">IF(C96&gt;C95,(F95+E96)*가정!$B$35,F95+E96)</f>
        <v>1009.13625863225</v>
      </c>
      <c r="G96" s="25" t="n">
        <f aca="false">(1+F96*가정!$B$37)*D96</f>
        <v>827.450202056447</v>
      </c>
      <c r="H96" s="25" t="n">
        <f aca="false">(1+F96*가정!$B$38)*D96^0.6</f>
        <v>145.505698040949</v>
      </c>
      <c r="I96" s="48" t="n">
        <f aca="false">가정!$B$5*가정!$B$7*가정!$B$6^(B96-1)/가정!$B$18</f>
        <v>137207.933242913</v>
      </c>
      <c r="J96" s="48" t="n">
        <f aca="false">(가정!$B$12+가정!$B$15*(LOG(가정!$B$9*가정!$B$7*H96*가정!$B$10^B96/(가정!$B$10-1)*(가정!$B$14-1)/가정!$B$13)/LOG(가정!$B$14)))*G96</f>
        <v>343051.834452728</v>
      </c>
      <c r="K96" s="49" t="n">
        <f aca="false">IFERROR(J96/I96,0)</f>
        <v>2.50023323247198</v>
      </c>
      <c r="L96" s="25" t="n">
        <f aca="false">A96/가정!$B$39</f>
        <v>31.6666666666667</v>
      </c>
      <c r="M96" s="26" t="str">
        <f aca="false">IF(K96&lt;1,"미달",IF(K96&gt;4,"과잉","적정"))</f>
        <v>적정</v>
      </c>
    </row>
    <row r="97" customFormat="false" ht="15" hidden="false" customHeight="true" outlineLevel="0" collapsed="false">
      <c r="A97" s="23" t="n">
        <v>96</v>
      </c>
      <c r="B97" s="23" t="n">
        <f aca="false">ROUND(가정!$B$32*(A97+1)^가정!$B$33,0)</f>
        <v>129</v>
      </c>
      <c r="C97" s="47" t="n">
        <f aca="false">IF(B97&gt;=IFERROR(INDEX(가정!$B$42:$B$50,C96),1000000),C96+1,C96)</f>
        <v>5</v>
      </c>
      <c r="D97" s="25" t="n">
        <f aca="false">가정!$B$34^(C97-1)</f>
        <v>39.0625</v>
      </c>
      <c r="E97" s="25" t="n">
        <f aca="false">(B97/10)^가정!$B$36</f>
        <v>59.8333799392089</v>
      </c>
      <c r="F97" s="24" t="n">
        <f aca="false">IF(C97&gt;C96,(F96+E97)*가정!$B$35,F96+E97)</f>
        <v>1068.96963857146</v>
      </c>
      <c r="G97" s="25" t="n">
        <f aca="false">(1+F97*가정!$B$37)*D97</f>
        <v>874.195030133954</v>
      </c>
      <c r="H97" s="25" t="n">
        <f aca="false">(1+F97*가정!$B$38)*D97^0.6</f>
        <v>153.598349129237</v>
      </c>
      <c r="I97" s="48" t="n">
        <f aca="false">가정!$B$5*가정!$B$7*가정!$B$6^(B97-1)/가정!$B$18</f>
        <v>137207.933242913</v>
      </c>
      <c r="J97" s="48" t="n">
        <f aca="false">(가정!$B$12+가정!$B$15*(LOG(가정!$B$9*가정!$B$7*H97*가정!$B$10^B97/(가정!$B$10-1)*(가정!$B$14-1)/가정!$B$13)/LOG(가정!$B$14)))*G97</f>
        <v>363684.278330563</v>
      </c>
      <c r="K97" s="49" t="n">
        <f aca="false">IFERROR(J97/I97,0)</f>
        <v>2.65060678150947</v>
      </c>
      <c r="L97" s="25" t="n">
        <f aca="false">A97/가정!$B$39</f>
        <v>32</v>
      </c>
      <c r="M97" s="26" t="str">
        <f aca="false">IF(K97&lt;1,"미달",IF(K97&gt;4,"과잉","적정"))</f>
        <v>적정</v>
      </c>
    </row>
    <row r="98" customFormat="false" ht="15" hidden="false" customHeight="true" outlineLevel="0" collapsed="false">
      <c r="A98" s="23" t="n">
        <v>97</v>
      </c>
      <c r="B98" s="23" t="n">
        <f aca="false">ROUND(가정!$B$32*(A98+1)^가정!$B$33,0)</f>
        <v>129</v>
      </c>
      <c r="C98" s="47" t="n">
        <f aca="false">IF(B98&gt;=IFERROR(INDEX(가정!$B$42:$B$50,C97),1000000),C97+1,C97)</f>
        <v>5</v>
      </c>
      <c r="D98" s="25" t="n">
        <f aca="false">가정!$B$34^(C98-1)</f>
        <v>39.0625</v>
      </c>
      <c r="E98" s="25" t="n">
        <f aca="false">(B98/10)^가정!$B$36</f>
        <v>59.8333799392089</v>
      </c>
      <c r="F98" s="24" t="n">
        <f aca="false">IF(C98&gt;C97,(F97+E98)*가정!$B$35,F97+E98)</f>
        <v>1128.80301851067</v>
      </c>
      <c r="G98" s="25" t="n">
        <f aca="false">(1+F98*가정!$B$37)*D98</f>
        <v>920.939858211461</v>
      </c>
      <c r="H98" s="25" t="n">
        <f aca="false">(1+F98*가정!$B$38)*D98^0.6</f>
        <v>161.691000217525</v>
      </c>
      <c r="I98" s="48" t="n">
        <f aca="false">가정!$B$5*가정!$B$7*가정!$B$6^(B98-1)/가정!$B$18</f>
        <v>137207.933242913</v>
      </c>
      <c r="J98" s="48" t="n">
        <f aca="false">(가정!$B$12+가정!$B$15*(LOG(가정!$B$9*가정!$B$7*H98*가정!$B$10^B98/(가정!$B$10-1)*(가정!$B$14-1)/가정!$B$13)/LOG(가정!$B$14)))*G98</f>
        <v>384382.90629524</v>
      </c>
      <c r="K98" s="49" t="n">
        <f aca="false">IFERROR(J98/I98,0)</f>
        <v>2.80146269395902</v>
      </c>
      <c r="L98" s="25" t="n">
        <f aca="false">A98/가정!$B$39</f>
        <v>32.3333333333333</v>
      </c>
      <c r="M98" s="26" t="str">
        <f aca="false">IF(K98&lt;1,"미달",IF(K98&gt;4,"과잉","적정"))</f>
        <v>적정</v>
      </c>
    </row>
    <row r="99" customFormat="false" ht="15" hidden="false" customHeight="true" outlineLevel="0" collapsed="false">
      <c r="A99" s="23" t="n">
        <v>98</v>
      </c>
      <c r="B99" s="23" t="n">
        <f aca="false">ROUND(가정!$B$32*(A99+1)^가정!$B$33,0)</f>
        <v>130</v>
      </c>
      <c r="C99" s="47" t="n">
        <f aca="false">IF(B99&gt;=IFERROR(INDEX(가정!$B$42:$B$50,C98),1000000),C98+1,C98)</f>
        <v>5</v>
      </c>
      <c r="D99" s="25" t="n">
        <f aca="false">가정!$B$34^(C99-1)</f>
        <v>39.0625</v>
      </c>
      <c r="E99" s="25" t="n">
        <f aca="false">(B99/10)^가정!$B$36</f>
        <v>60.5772234604689</v>
      </c>
      <c r="F99" s="24" t="n">
        <f aca="false">IF(C99&gt;C98,(F98+E99)*가정!$B$35,F98+E99)</f>
        <v>1189.38024197114</v>
      </c>
      <c r="G99" s="25" t="n">
        <f aca="false">(1+F99*가정!$B$37)*D99</f>
        <v>968.265814039952</v>
      </c>
      <c r="H99" s="25" t="n">
        <f aca="false">(1+F99*가정!$B$38)*D99^0.6</f>
        <v>169.884258460013</v>
      </c>
      <c r="I99" s="48" t="n">
        <f aca="false">가정!$B$5*가정!$B$7*가정!$B$6^(B99-1)/가정!$B$18</f>
        <v>149556.647234775</v>
      </c>
      <c r="J99" s="48" t="n">
        <f aca="false">(가정!$B$12+가정!$B$15*(LOG(가정!$B$9*가정!$B$7*H99*가정!$B$10^B99/(가정!$B$10-1)*(가정!$B$14-1)/가정!$B$13)/LOG(가정!$B$14)))*G99</f>
        <v>407256.53968016</v>
      </c>
      <c r="K99" s="49" t="n">
        <f aca="false">IFERROR(J99/I99,0)</f>
        <v>2.72309220091599</v>
      </c>
      <c r="L99" s="25" t="n">
        <f aca="false">A99/가정!$B$39</f>
        <v>32.6666666666667</v>
      </c>
      <c r="M99" s="26" t="str">
        <f aca="false">IF(K99&lt;1,"미달",IF(K99&gt;4,"과잉","적정"))</f>
        <v>적정</v>
      </c>
    </row>
    <row r="100" customFormat="false" ht="15" hidden="false" customHeight="true" outlineLevel="0" collapsed="false">
      <c r="A100" s="23" t="n">
        <v>99</v>
      </c>
      <c r="B100" s="23" t="n">
        <f aca="false">ROUND(가정!$B$32*(A100+1)^가정!$B$33,0)</f>
        <v>130</v>
      </c>
      <c r="C100" s="47" t="n">
        <f aca="false">IF(B100&gt;=IFERROR(INDEX(가정!$B$42:$B$50,C99),1000000),C99+1,C99)</f>
        <v>5</v>
      </c>
      <c r="D100" s="25" t="n">
        <f aca="false">가정!$B$34^(C100-1)</f>
        <v>39.0625</v>
      </c>
      <c r="E100" s="25" t="n">
        <f aca="false">(B100/10)^가정!$B$36</f>
        <v>60.5772234604689</v>
      </c>
      <c r="F100" s="24" t="n">
        <f aca="false">IF(C100&gt;C99,(F99+E100)*가정!$B$35,F99+E100)</f>
        <v>1249.95746543161</v>
      </c>
      <c r="G100" s="25" t="n">
        <f aca="false">(1+F100*가정!$B$37)*D100</f>
        <v>1015.59176986844</v>
      </c>
      <c r="H100" s="25" t="n">
        <f aca="false">(1+F100*가정!$B$38)*D100^0.6</f>
        <v>178.077516702501</v>
      </c>
      <c r="I100" s="48" t="n">
        <f aca="false">가정!$B$5*가정!$B$7*가정!$B$6^(B100-1)/가정!$B$18</f>
        <v>149556.647234775</v>
      </c>
      <c r="J100" s="48" t="n">
        <f aca="false">(가정!$B$12+가정!$B$15*(LOG(가정!$B$9*가정!$B$7*H100*가정!$B$10^B100/(가정!$B$10-1)*(가정!$B$14-1)/가정!$B$13)/LOG(가정!$B$14)))*G100</f>
        <v>428428.32730818</v>
      </c>
      <c r="K100" s="49" t="n">
        <f aca="false">IFERROR(J100/I100,0)</f>
        <v>2.86465586939529</v>
      </c>
      <c r="L100" s="25" t="n">
        <f aca="false">A100/가정!$B$39</f>
        <v>33</v>
      </c>
      <c r="M100" s="26" t="str">
        <f aca="false">IF(K100&lt;1,"미달",IF(K100&gt;4,"과잉","적정"))</f>
        <v>적정</v>
      </c>
    </row>
    <row r="101" customFormat="false" ht="15" hidden="false" customHeight="true" outlineLevel="0" collapsed="false">
      <c r="A101" s="23" t="n">
        <v>100</v>
      </c>
      <c r="B101" s="23" t="n">
        <f aca="false">ROUND(가정!$B$32*(A101+1)^가정!$B$33,0)</f>
        <v>130</v>
      </c>
      <c r="C101" s="47" t="n">
        <f aca="false">IF(B101&gt;=IFERROR(INDEX(가정!$B$42:$B$50,C100),1000000),C100+1,C100)</f>
        <v>5</v>
      </c>
      <c r="D101" s="25" t="n">
        <f aca="false">가정!$B$34^(C101-1)</f>
        <v>39.0625</v>
      </c>
      <c r="E101" s="25" t="n">
        <f aca="false">(B101/10)^가정!$B$36</f>
        <v>60.5772234604689</v>
      </c>
      <c r="F101" s="24" t="n">
        <f aca="false">IF(C101&gt;C100,(F100+E101)*가정!$B$35,F100+E101)</f>
        <v>1310.53468889208</v>
      </c>
      <c r="G101" s="25" t="n">
        <f aca="false">(1+F101*가정!$B$37)*D101</f>
        <v>1062.91772569693</v>
      </c>
      <c r="H101" s="25" t="n">
        <f aca="false">(1+F101*가정!$B$38)*D101^0.6</f>
        <v>186.270774944989</v>
      </c>
      <c r="I101" s="48" t="n">
        <f aca="false">가정!$B$5*가정!$B$7*가정!$B$6^(B101-1)/가정!$B$18</f>
        <v>149556.647234775</v>
      </c>
      <c r="J101" s="48" t="n">
        <f aca="false">(가정!$B$12+가정!$B$15*(LOG(가정!$B$9*가정!$B$7*H101*가정!$B$10^B101/(가정!$B$10-1)*(가정!$B$14-1)/가정!$B$13)/LOG(가정!$B$14)))*G101</f>
        <v>449658.506295467</v>
      </c>
      <c r="K101" s="49" t="n">
        <f aca="false">IFERROR(J101/I101,0)</f>
        <v>3.00660996759033</v>
      </c>
      <c r="L101" s="25" t="n">
        <f aca="false">A101/가정!$B$39</f>
        <v>33.3333333333333</v>
      </c>
      <c r="M101" s="26" t="str">
        <f aca="false">IF(K101&lt;1,"미달",IF(K101&gt;4,"과잉","적정"))</f>
        <v>적정</v>
      </c>
    </row>
    <row r="102" customFormat="false" ht="15" hidden="false" customHeight="true" outlineLevel="0" collapsed="false">
      <c r="A102" s="23" t="n">
        <v>101</v>
      </c>
      <c r="B102" s="23" t="n">
        <f aca="false">ROUND(가정!$B$32*(A102+1)^가정!$B$33,0)</f>
        <v>131</v>
      </c>
      <c r="C102" s="47" t="n">
        <f aca="false">IF(B102&gt;=IFERROR(INDEX(가정!$B$42:$B$50,C101),1000000),C101+1,C101)</f>
        <v>5</v>
      </c>
      <c r="D102" s="25" t="n">
        <f aca="false">가정!$B$34^(C102-1)</f>
        <v>39.0625</v>
      </c>
      <c r="E102" s="25" t="n">
        <f aca="false">(B102/10)^가정!$B$36</f>
        <v>61.3245080642796</v>
      </c>
      <c r="F102" s="24" t="n">
        <f aca="false">IF(C102&gt;C101,(F101+E102)*가정!$B$35,F101+E102)</f>
        <v>1371.85919695636</v>
      </c>
      <c r="G102" s="25" t="n">
        <f aca="false">(1+F102*가정!$B$37)*D102</f>
        <v>1110.82749762215</v>
      </c>
      <c r="H102" s="25" t="n">
        <f aca="false">(1+F102*가정!$B$38)*D102^0.6</f>
        <v>194.565105758815</v>
      </c>
      <c r="I102" s="48" t="n">
        <f aca="false">가정!$B$5*가정!$B$7*가정!$B$6^(B102-1)/가정!$B$18</f>
        <v>163016.745485905</v>
      </c>
      <c r="J102" s="48" t="n">
        <f aca="false">(가정!$B$12+가정!$B$15*(LOG(가정!$B$9*가정!$B$7*H102*가정!$B$10^B102/(가정!$B$10-1)*(가정!$B$14-1)/가정!$B$13)/LOG(가정!$B$14)))*G102</f>
        <v>473334.021664646</v>
      </c>
      <c r="K102" s="49" t="n">
        <f aca="false">IFERROR(J102/I102,0)</f>
        <v>2.9035914086849</v>
      </c>
      <c r="L102" s="25" t="n">
        <f aca="false">A102/가정!$B$39</f>
        <v>33.6666666666667</v>
      </c>
      <c r="M102" s="26" t="str">
        <f aca="false">IF(K102&lt;1,"미달",IF(K102&gt;4,"과잉","적정"))</f>
        <v>적정</v>
      </c>
    </row>
    <row r="103" customFormat="false" ht="15" hidden="false" customHeight="true" outlineLevel="0" collapsed="false">
      <c r="A103" s="23" t="n">
        <v>102</v>
      </c>
      <c r="B103" s="23" t="n">
        <f aca="false">ROUND(가정!$B$32*(A103+1)^가정!$B$33,0)</f>
        <v>131</v>
      </c>
      <c r="C103" s="47" t="n">
        <f aca="false">IF(B103&gt;=IFERROR(INDEX(가정!$B$42:$B$50,C102),1000000),C102+1,C102)</f>
        <v>5</v>
      </c>
      <c r="D103" s="25" t="n">
        <f aca="false">가정!$B$34^(C103-1)</f>
        <v>39.0625</v>
      </c>
      <c r="E103" s="25" t="n">
        <f aca="false">(B103/10)^가정!$B$36</f>
        <v>61.3245080642796</v>
      </c>
      <c r="F103" s="24" t="n">
        <f aca="false">IF(C103&gt;C102,(F102+E103)*가정!$B$35,F102+E103)</f>
        <v>1433.18370502064</v>
      </c>
      <c r="G103" s="25" t="n">
        <f aca="false">(1+F103*가정!$B$37)*D103</f>
        <v>1158.73726954737</v>
      </c>
      <c r="H103" s="25" t="n">
        <f aca="false">(1+F103*가정!$B$38)*D103^0.6</f>
        <v>202.859436572641</v>
      </c>
      <c r="I103" s="48" t="n">
        <f aca="false">가정!$B$5*가정!$B$7*가정!$B$6^(B103-1)/가정!$B$18</f>
        <v>163016.745485905</v>
      </c>
      <c r="J103" s="48" t="n">
        <f aca="false">(가정!$B$12+가정!$B$15*(LOG(가정!$B$9*가정!$B$7*H103*가정!$B$10^B103/(가정!$B$10-1)*(가정!$B$14-1)/가정!$B$13)/LOG(가정!$B$14)))*G103</f>
        <v>495029.344358606</v>
      </c>
      <c r="K103" s="49" t="n">
        <f aca="false">IFERROR(J103/I103,0)</f>
        <v>3.036677875534</v>
      </c>
      <c r="L103" s="25" t="n">
        <f aca="false">A103/가정!$B$39</f>
        <v>34</v>
      </c>
      <c r="M103" s="26" t="str">
        <f aca="false">IF(K103&lt;1,"미달",IF(K103&gt;4,"과잉","적정"))</f>
        <v>적정</v>
      </c>
    </row>
    <row r="104" customFormat="false" ht="15" hidden="false" customHeight="true" outlineLevel="0" collapsed="false">
      <c r="A104" s="23" t="n">
        <v>103</v>
      </c>
      <c r="B104" s="23" t="n">
        <f aca="false">ROUND(가정!$B$32*(A104+1)^가정!$B$33,0)</f>
        <v>131</v>
      </c>
      <c r="C104" s="47" t="n">
        <f aca="false">IF(B104&gt;=IFERROR(INDEX(가정!$B$42:$B$50,C103),1000000),C103+1,C103)</f>
        <v>5</v>
      </c>
      <c r="D104" s="25" t="n">
        <f aca="false">가정!$B$34^(C104-1)</f>
        <v>39.0625</v>
      </c>
      <c r="E104" s="25" t="n">
        <f aca="false">(B104/10)^가정!$B$36</f>
        <v>61.3245080642796</v>
      </c>
      <c r="F104" s="24" t="n">
        <f aca="false">IF(C104&gt;C103,(F103+E104)*가정!$B$35,F103+E104)</f>
        <v>1494.50821308492</v>
      </c>
      <c r="G104" s="25" t="n">
        <f aca="false">(1+F104*가정!$B$37)*D104</f>
        <v>1206.64704147259</v>
      </c>
      <c r="H104" s="25" t="n">
        <f aca="false">(1+F104*가정!$B$38)*D104^0.6</f>
        <v>211.153767386467</v>
      </c>
      <c r="I104" s="48" t="n">
        <f aca="false">가정!$B$5*가정!$B$7*가정!$B$6^(B104-1)/가정!$B$18</f>
        <v>163016.745485905</v>
      </c>
      <c r="J104" s="48" t="n">
        <f aca="false">(가정!$B$12+가정!$B$15*(LOG(가정!$B$9*가정!$B$7*H104*가정!$B$10^B104/(가정!$B$10-1)*(가정!$B$14-1)/가정!$B$13)/LOG(가정!$B$14)))*G104</f>
        <v>516777.11333829</v>
      </c>
      <c r="K104" s="49" t="n">
        <f aca="false">IFERROR(J104/I104,0)</f>
        <v>3.17008606568564</v>
      </c>
      <c r="L104" s="25" t="n">
        <f aca="false">A104/가정!$B$39</f>
        <v>34.3333333333333</v>
      </c>
      <c r="M104" s="26" t="str">
        <f aca="false">IF(K104&lt;1,"미달",IF(K104&gt;4,"과잉","적정"))</f>
        <v>적정</v>
      </c>
    </row>
    <row r="105" customFormat="false" ht="15" hidden="false" customHeight="true" outlineLevel="0" collapsed="false">
      <c r="A105" s="23" t="n">
        <v>104</v>
      </c>
      <c r="B105" s="23" t="n">
        <f aca="false">ROUND(가정!$B$32*(A105+1)^가정!$B$33,0)</f>
        <v>132</v>
      </c>
      <c r="C105" s="47" t="n">
        <f aca="false">IF(B105&gt;=IFERROR(INDEX(가정!$B$42:$B$50,C104),1000000),C104+1,C104)</f>
        <v>5</v>
      </c>
      <c r="D105" s="25" t="n">
        <f aca="false">가정!$B$34^(C105-1)</f>
        <v>39.0625</v>
      </c>
      <c r="E105" s="25" t="n">
        <f aca="false">(B105/10)^가정!$B$36</f>
        <v>62.0752232192142</v>
      </c>
      <c r="F105" s="24" t="n">
        <f aca="false">IF(C105&gt;C104,(F104+E105)*가정!$B$35,F104+E105)</f>
        <v>1556.58343630413</v>
      </c>
      <c r="G105" s="25" t="n">
        <f aca="false">(1+F105*가정!$B$37)*D105</f>
        <v>1255.1433096126</v>
      </c>
      <c r="H105" s="25" t="n">
        <f aca="false">(1+F105*가정!$B$38)*D105^0.6</f>
        <v>219.54963476436</v>
      </c>
      <c r="I105" s="48" t="n">
        <f aca="false">가정!$B$5*가정!$B$7*가정!$B$6^(B105-1)/가정!$B$18</f>
        <v>177688.252579637</v>
      </c>
      <c r="J105" s="48" t="n">
        <f aca="false">(가정!$B$12+가정!$B$15*(LOG(가정!$B$9*가정!$B$7*H105*가정!$B$10^B105/(가정!$B$10-1)*(가정!$B$14-1)/가정!$B$13)/LOG(가정!$B$14)))*G105</f>
        <v>541245.30311326</v>
      </c>
      <c r="K105" s="49" t="n">
        <f aca="false">IFERROR(J105/I105,0)</f>
        <v>3.04603875189039</v>
      </c>
      <c r="L105" s="25" t="n">
        <f aca="false">A105/가정!$B$39</f>
        <v>34.6666666666667</v>
      </c>
      <c r="M105" s="26" t="str">
        <f aca="false">IF(K105&lt;1,"미달",IF(K105&gt;4,"과잉","적정"))</f>
        <v>적정</v>
      </c>
    </row>
    <row r="106" customFormat="false" ht="15" hidden="false" customHeight="true" outlineLevel="0" collapsed="false">
      <c r="A106" s="23" t="n">
        <v>105</v>
      </c>
      <c r="B106" s="23" t="n">
        <f aca="false">ROUND(가정!$B$32*(A106+1)^가정!$B$33,0)</f>
        <v>132</v>
      </c>
      <c r="C106" s="47" t="n">
        <f aca="false">IF(B106&gt;=IFERROR(INDEX(가정!$B$42:$B$50,C105),1000000),C105+1,C105)</f>
        <v>5</v>
      </c>
      <c r="D106" s="25" t="n">
        <f aca="false">가정!$B$34^(C106-1)</f>
        <v>39.0625</v>
      </c>
      <c r="E106" s="25" t="n">
        <f aca="false">(B106/10)^가정!$B$36</f>
        <v>62.0752232192142</v>
      </c>
      <c r="F106" s="24" t="n">
        <f aca="false">IF(C106&gt;C105,(F105+E106)*가정!$B$35,F105+E106)</f>
        <v>1618.65865952334</v>
      </c>
      <c r="G106" s="25" t="n">
        <f aca="false">(1+F106*가정!$B$37)*D106</f>
        <v>1303.63957775261</v>
      </c>
      <c r="H106" s="25" t="n">
        <f aca="false">(1+F106*가정!$B$38)*D106^0.6</f>
        <v>227.945502142254</v>
      </c>
      <c r="I106" s="48" t="n">
        <f aca="false">가정!$B$5*가정!$B$7*가정!$B$6^(B106-1)/가정!$B$18</f>
        <v>177688.252579637</v>
      </c>
      <c r="J106" s="48" t="n">
        <f aca="false">(가정!$B$12+가정!$B$15*(LOG(가정!$B$9*가정!$B$7*H106*가정!$B$10^B106/(가정!$B$10-1)*(가정!$B$14-1)/가정!$B$13)/LOG(가정!$B$14)))*G106</f>
        <v>563453.038449117</v>
      </c>
      <c r="K106" s="49" t="n">
        <f aca="false">IFERROR(J106/I106,0)</f>
        <v>3.17102020121779</v>
      </c>
      <c r="L106" s="25" t="n">
        <f aca="false">A106/가정!$B$39</f>
        <v>35</v>
      </c>
      <c r="M106" s="26" t="str">
        <f aca="false">IF(K106&lt;1,"미달",IF(K106&gt;4,"과잉","적정"))</f>
        <v>적정</v>
      </c>
    </row>
    <row r="107" customFormat="false" ht="15" hidden="false" customHeight="true" outlineLevel="0" collapsed="false">
      <c r="A107" s="23" t="n">
        <v>106</v>
      </c>
      <c r="B107" s="23" t="n">
        <f aca="false">ROUND(가정!$B$32*(A107+1)^가정!$B$33,0)</f>
        <v>133</v>
      </c>
      <c r="C107" s="47" t="n">
        <f aca="false">IF(B107&gt;=IFERROR(INDEX(가정!$B$42:$B$50,C106),1000000),C106+1,C106)</f>
        <v>5</v>
      </c>
      <c r="D107" s="25" t="n">
        <f aca="false">가정!$B$34^(C107-1)</f>
        <v>39.0625</v>
      </c>
      <c r="E107" s="25" t="n">
        <f aca="false">(B107/10)^가정!$B$36</f>
        <v>62.8293585058005</v>
      </c>
      <c r="F107" s="24" t="n">
        <f aca="false">IF(C107&gt;C106,(F106+E107)*가정!$B$35,F106+E107)</f>
        <v>1681.48801802914</v>
      </c>
      <c r="G107" s="25" t="n">
        <f aca="false">(1+F107*가정!$B$37)*D107</f>
        <v>1352.72501408527</v>
      </c>
      <c r="H107" s="25" t="n">
        <f aca="false">(1+F107*가정!$B$38)*D107^0.6</f>
        <v>236.443368667678</v>
      </c>
      <c r="I107" s="48" t="n">
        <f aca="false">가정!$B$5*가정!$B$7*가정!$B$6^(B107-1)/가정!$B$18</f>
        <v>193680.195311804</v>
      </c>
      <c r="J107" s="48" t="n">
        <f aca="false">(가정!$B$12+가정!$B$15*(LOG(가정!$B$9*가정!$B$7*H107*가정!$B$10^B107/(가정!$B$10-1)*(가정!$B$14-1)/가정!$B$13)/LOG(가정!$B$14)))*G107</f>
        <v>588568.923092815</v>
      </c>
      <c r="K107" s="49" t="n">
        <f aca="false">IFERROR(J107/I107,0)</f>
        <v>3.03886993786476</v>
      </c>
      <c r="L107" s="25" t="n">
        <f aca="false">A107/가정!$B$39</f>
        <v>35.3333333333333</v>
      </c>
      <c r="M107" s="26" t="str">
        <f aca="false">IF(K107&lt;1,"미달",IF(K107&gt;4,"과잉","적정"))</f>
        <v>적정</v>
      </c>
    </row>
    <row r="108" customFormat="false" ht="15" hidden="false" customHeight="true" outlineLevel="0" collapsed="false">
      <c r="A108" s="23" t="n">
        <v>107</v>
      </c>
      <c r="B108" s="23" t="n">
        <f aca="false">ROUND(가정!$B$32*(A108+1)^가정!$B$33,0)</f>
        <v>133</v>
      </c>
      <c r="C108" s="47" t="n">
        <f aca="false">IF(B108&gt;=IFERROR(INDEX(가정!$B$42:$B$50,C107),1000000),C107+1,C107)</f>
        <v>5</v>
      </c>
      <c r="D108" s="25" t="n">
        <f aca="false">가정!$B$34^(C108-1)</f>
        <v>39.0625</v>
      </c>
      <c r="E108" s="25" t="n">
        <f aca="false">(B108/10)^가정!$B$36</f>
        <v>62.8293585058005</v>
      </c>
      <c r="F108" s="24" t="n">
        <f aca="false">IF(C108&gt;C107,(F107+E108)*가정!$B$35,F107+E108)</f>
        <v>1744.31737653494</v>
      </c>
      <c r="G108" s="25" t="n">
        <f aca="false">(1+F108*가정!$B$37)*D108</f>
        <v>1401.81045041793</v>
      </c>
      <c r="H108" s="25" t="n">
        <f aca="false">(1+F108*가정!$B$38)*D108^0.6</f>
        <v>244.941235193103</v>
      </c>
      <c r="I108" s="48" t="n">
        <f aca="false">가정!$B$5*가정!$B$7*가정!$B$6^(B108-1)/가정!$B$18</f>
        <v>193680.195311804</v>
      </c>
      <c r="J108" s="48" t="n">
        <f aca="false">(가정!$B$12+가정!$B$15*(LOG(가정!$B$9*가정!$B$7*H108*가정!$B$10^B108/(가정!$B$10-1)*(가정!$B$14-1)/가정!$B$13)/LOG(가정!$B$14)))*G108</f>
        <v>611236.211863405</v>
      </c>
      <c r="K108" s="49" t="n">
        <f aca="false">IFERROR(J108/I108,0)</f>
        <v>3.15590456153445</v>
      </c>
      <c r="L108" s="25" t="n">
        <f aca="false">A108/가정!$B$39</f>
        <v>35.6666666666667</v>
      </c>
      <c r="M108" s="26" t="str">
        <f aca="false">IF(K108&lt;1,"미달",IF(K108&gt;4,"과잉","적정"))</f>
        <v>적정</v>
      </c>
    </row>
    <row r="109" customFormat="false" ht="15" hidden="false" customHeight="true" outlineLevel="0" collapsed="false">
      <c r="A109" s="23" t="n">
        <v>108</v>
      </c>
      <c r="B109" s="23" t="n">
        <f aca="false">ROUND(가정!$B$32*(A109+1)^가정!$B$33,0)</f>
        <v>133</v>
      </c>
      <c r="C109" s="47" t="n">
        <f aca="false">IF(B109&gt;=IFERROR(INDEX(가정!$B$42:$B$50,C108),1000000),C108+1,C108)</f>
        <v>5</v>
      </c>
      <c r="D109" s="25" t="n">
        <f aca="false">가정!$B$34^(C109-1)</f>
        <v>39.0625</v>
      </c>
      <c r="E109" s="25" t="n">
        <f aca="false">(B109/10)^가정!$B$36</f>
        <v>62.8293585058005</v>
      </c>
      <c r="F109" s="24" t="n">
        <f aca="false">IF(C109&gt;C108,(F108+E109)*가정!$B$35,F108+E109)</f>
        <v>1807.14673504074</v>
      </c>
      <c r="G109" s="25" t="n">
        <f aca="false">(1+F109*가정!$B$37)*D109</f>
        <v>1450.89588675058</v>
      </c>
      <c r="H109" s="25" t="n">
        <f aca="false">(1+F109*가정!$B$38)*D109^0.6</f>
        <v>253.439101718527</v>
      </c>
      <c r="I109" s="48" t="n">
        <f aca="false">가정!$B$5*가정!$B$7*가정!$B$6^(B109-1)/가정!$B$18</f>
        <v>193680.195311804</v>
      </c>
      <c r="J109" s="48" t="n">
        <f aca="false">(가정!$B$12+가정!$B$15*(LOG(가정!$B$9*가정!$B$7*H109*가정!$B$10^B109/(가정!$B$10-1)*(가정!$B$14-1)/가정!$B$13)/LOG(가정!$B$14)))*G109</f>
        <v>633949.004613927</v>
      </c>
      <c r="K109" s="49" t="n">
        <f aca="false">IFERROR(J109/I109,0)</f>
        <v>3.27317412910152</v>
      </c>
      <c r="L109" s="25" t="n">
        <f aca="false">A109/가정!$B$39</f>
        <v>36</v>
      </c>
      <c r="M109" s="26" t="str">
        <f aca="false">IF(K109&lt;1,"미달",IF(K109&gt;4,"과잉","적정"))</f>
        <v>적정</v>
      </c>
    </row>
    <row r="110" customFormat="false" ht="15" hidden="false" customHeight="true" outlineLevel="0" collapsed="false">
      <c r="A110" s="23" t="n">
        <v>109</v>
      </c>
      <c r="B110" s="23" t="n">
        <f aca="false">ROUND(가정!$B$32*(A110+1)^가정!$B$33,0)</f>
        <v>133</v>
      </c>
      <c r="C110" s="47" t="n">
        <f aca="false">IF(B110&gt;=IFERROR(INDEX(가정!$B$42:$B$50,C109),1000000),C109+1,C109)</f>
        <v>5</v>
      </c>
      <c r="D110" s="25" t="n">
        <f aca="false">가정!$B$34^(C110-1)</f>
        <v>39.0625</v>
      </c>
      <c r="E110" s="25" t="n">
        <f aca="false">(B110/10)^가정!$B$36</f>
        <v>62.8293585058005</v>
      </c>
      <c r="F110" s="24" t="n">
        <f aca="false">IF(C110&gt;C109,(F109+E110)*가정!$B$35,F109+E110)</f>
        <v>1869.97609354655</v>
      </c>
      <c r="G110" s="25" t="n">
        <f aca="false">(1+F110*가정!$B$37)*D110</f>
        <v>1499.98132308324</v>
      </c>
      <c r="H110" s="25" t="n">
        <f aca="false">(1+F110*가정!$B$38)*D110^0.6</f>
        <v>261.936968243952</v>
      </c>
      <c r="I110" s="48" t="n">
        <f aca="false">가정!$B$5*가정!$B$7*가정!$B$6^(B110-1)/가정!$B$18</f>
        <v>193680.195311804</v>
      </c>
      <c r="J110" s="48" t="n">
        <f aca="false">(가정!$B$12+가정!$B$15*(LOG(가정!$B$9*가정!$B$7*H110*가정!$B$10^B110/(가정!$B$10-1)*(가정!$B$14-1)/가정!$B$13)/LOG(가정!$B$14)))*G110</f>
        <v>656705.761541634</v>
      </c>
      <c r="K110" s="49" t="n">
        <f aca="false">IFERROR(J110/I110,0)</f>
        <v>3.39067069033264</v>
      </c>
      <c r="L110" s="25" t="n">
        <f aca="false">A110/가정!$B$39</f>
        <v>36.3333333333333</v>
      </c>
      <c r="M110" s="26" t="str">
        <f aca="false">IF(K110&lt;1,"미달",IF(K110&gt;4,"과잉","적정"))</f>
        <v>적정</v>
      </c>
    </row>
    <row r="111" customFormat="false" ht="15" hidden="false" customHeight="true" outlineLevel="0" collapsed="false">
      <c r="A111" s="23" t="n">
        <v>110</v>
      </c>
      <c r="B111" s="23" t="n">
        <f aca="false">ROUND(가정!$B$32*(A111+1)^가정!$B$33,0)</f>
        <v>134</v>
      </c>
      <c r="C111" s="47" t="n">
        <f aca="false">IF(B111&gt;=IFERROR(INDEX(가정!$B$42:$B$50,C110),1000000),C110+1,C110)</f>
        <v>5</v>
      </c>
      <c r="D111" s="25" t="n">
        <f aca="false">가정!$B$34^(C111-1)</f>
        <v>39.0625</v>
      </c>
      <c r="E111" s="25" t="n">
        <f aca="false">(B111/10)^가정!$B$36</f>
        <v>63.5869036144962</v>
      </c>
      <c r="F111" s="24" t="n">
        <f aca="false">IF(C111&gt;C110,(F110+E111)*가정!$B$35,F110+E111)</f>
        <v>1933.56299716104</v>
      </c>
      <c r="G111" s="25" t="n">
        <f aca="false">(1+F111*가정!$B$37)*D111</f>
        <v>1549.65859153206</v>
      </c>
      <c r="H111" s="25" t="n">
        <f aca="false">(1+F111*가정!$B$38)*D111^0.6</f>
        <v>270.537295105974</v>
      </c>
      <c r="I111" s="48" t="n">
        <f aca="false">가정!$B$5*가정!$B$7*가정!$B$6^(B111-1)/가정!$B$18</f>
        <v>211111.412889866</v>
      </c>
      <c r="J111" s="48" t="n">
        <f aca="false">(가정!$B$12+가정!$B$15*(LOG(가정!$B$9*가정!$B$7*H111*가정!$B$10^B111/(가정!$B$10-1)*(가정!$B$14-1)/가정!$B$13)/LOG(가정!$B$14)))*G111</f>
        <v>682746.934932355</v>
      </c>
      <c r="K111" s="49" t="n">
        <f aca="false">IFERROR(J111/I111,0)</f>
        <v>3.23405980560859</v>
      </c>
      <c r="L111" s="25" t="n">
        <f aca="false">A111/가정!$B$39</f>
        <v>36.6666666666667</v>
      </c>
      <c r="M111" s="26" t="str">
        <f aca="false">IF(K111&lt;1,"미달",IF(K111&gt;4,"과잉","적정"))</f>
        <v>적정</v>
      </c>
    </row>
    <row r="112" customFormat="false" ht="15" hidden="false" customHeight="true" outlineLevel="0" collapsed="false">
      <c r="A112" s="23" t="n">
        <v>111</v>
      </c>
      <c r="B112" s="23" t="n">
        <f aca="false">ROUND(가정!$B$32*(A112+1)^가정!$B$33,0)</f>
        <v>134</v>
      </c>
      <c r="C112" s="47" t="n">
        <f aca="false">IF(B112&gt;=IFERROR(INDEX(가정!$B$42:$B$50,C111),1000000),C111+1,C111)</f>
        <v>5</v>
      </c>
      <c r="D112" s="25" t="n">
        <f aca="false">가정!$B$34^(C112-1)</f>
        <v>39.0625</v>
      </c>
      <c r="E112" s="25" t="n">
        <f aca="false">(B112/10)^가정!$B$36</f>
        <v>63.5869036144962</v>
      </c>
      <c r="F112" s="24" t="n">
        <f aca="false">IF(C112&gt;C111,(F111+E112)*가정!$B$35,F111+E112)</f>
        <v>1997.14990077554</v>
      </c>
      <c r="G112" s="25" t="n">
        <f aca="false">(1+F112*가정!$B$37)*D112</f>
        <v>1599.33585998089</v>
      </c>
      <c r="H112" s="25" t="n">
        <f aca="false">(1+F112*가정!$B$38)*D112^0.6</f>
        <v>279.137621967995</v>
      </c>
      <c r="I112" s="48" t="n">
        <f aca="false">가정!$B$5*가정!$B$7*가정!$B$6^(B112-1)/가정!$B$18</f>
        <v>211111.412889866</v>
      </c>
      <c r="J112" s="48" t="n">
        <f aca="false">(가정!$B$12+가정!$B$15*(LOG(가정!$B$9*가정!$B$7*H112*가정!$B$10^B112/(가정!$B$10-1)*(가정!$B$14-1)/가정!$B$13)/LOG(가정!$B$14)))*G112</f>
        <v>705958.631054501</v>
      </c>
      <c r="K112" s="49" t="n">
        <f aca="false">IFERROR(J112/I112,0)</f>
        <v>3.34400978796343</v>
      </c>
      <c r="L112" s="25" t="n">
        <f aca="false">A112/가정!$B$39</f>
        <v>37</v>
      </c>
      <c r="M112" s="26" t="str">
        <f aca="false">IF(K112&lt;1,"미달",IF(K112&gt;4,"과잉","적정"))</f>
        <v>적정</v>
      </c>
    </row>
    <row r="113" customFormat="false" ht="15" hidden="false" customHeight="true" outlineLevel="0" collapsed="false">
      <c r="A113" s="23" t="n">
        <v>112</v>
      </c>
      <c r="B113" s="23" t="n">
        <f aca="false">ROUND(가정!$B$32*(A113+1)^가정!$B$33,0)</f>
        <v>134</v>
      </c>
      <c r="C113" s="47" t="n">
        <f aca="false">IF(B113&gt;=IFERROR(INDEX(가정!$B$42:$B$50,C112),1000000),C112+1,C112)</f>
        <v>5</v>
      </c>
      <c r="D113" s="25" t="n">
        <f aca="false">가정!$B$34^(C113-1)</f>
        <v>39.0625</v>
      </c>
      <c r="E113" s="25" t="n">
        <f aca="false">(B113/10)^가정!$B$36</f>
        <v>63.5869036144962</v>
      </c>
      <c r="F113" s="24" t="n">
        <f aca="false">IF(C113&gt;C112,(F112+E113)*가정!$B$35,F112+E113)</f>
        <v>2060.73680439003</v>
      </c>
      <c r="G113" s="25" t="n">
        <f aca="false">(1+F113*가정!$B$37)*D113</f>
        <v>1649.01312842971</v>
      </c>
      <c r="H113" s="25" t="n">
        <f aca="false">(1+F113*가정!$B$38)*D113^0.6</f>
        <v>287.737948830017</v>
      </c>
      <c r="I113" s="48" t="n">
        <f aca="false">가정!$B$5*가정!$B$7*가정!$B$6^(B113-1)/가정!$B$18</f>
        <v>211111.412889866</v>
      </c>
      <c r="J113" s="48" t="n">
        <f aca="false">(가정!$B$12+가정!$B$15*(LOG(가정!$B$9*가정!$B$7*H113*가정!$B$10^B113/(가정!$B$10-1)*(가정!$B$14-1)/가정!$B$13)/LOG(가정!$B$14)))*G113</f>
        <v>729211.177796784</v>
      </c>
      <c r="K113" s="49" t="n">
        <f aca="false">IFERROR(J113/I113,0)</f>
        <v>3.45415327297915</v>
      </c>
      <c r="L113" s="25" t="n">
        <f aca="false">A113/가정!$B$39</f>
        <v>37.3333333333333</v>
      </c>
      <c r="M113" s="26" t="str">
        <f aca="false">IF(K113&lt;1,"미달",IF(K113&gt;4,"과잉","적정"))</f>
        <v>적정</v>
      </c>
    </row>
    <row r="114" customFormat="false" ht="15" hidden="false" customHeight="true" outlineLevel="0" collapsed="false">
      <c r="A114" s="23" t="n">
        <v>113</v>
      </c>
      <c r="B114" s="23" t="n">
        <f aca="false">ROUND(가정!$B$32*(A114+1)^가정!$B$33,0)</f>
        <v>135</v>
      </c>
      <c r="C114" s="47" t="n">
        <f aca="false">IF(B114&gt;=IFERROR(INDEX(가정!$B$42:$B$50,C113),1000000),C113+1,C113)</f>
        <v>5</v>
      </c>
      <c r="D114" s="25" t="n">
        <f aca="false">가정!$B$34^(C114-1)</f>
        <v>39.0625</v>
      </c>
      <c r="E114" s="25" t="n">
        <f aca="false">(B114/10)^가정!$B$36</f>
        <v>64.3478483437154</v>
      </c>
      <c r="F114" s="24" t="n">
        <f aca="false">IF(C114&gt;C113,(F113+E114)*가정!$B$35,F113+E114)</f>
        <v>2125.08465273375</v>
      </c>
      <c r="G114" s="25" t="n">
        <f aca="false">(1+F114*가정!$B$37)*D114</f>
        <v>1699.28488494824</v>
      </c>
      <c r="H114" s="25" t="n">
        <f aca="false">(1+F114*가정!$B$38)*D114^0.6</f>
        <v>296.441195837905</v>
      </c>
      <c r="I114" s="48" t="n">
        <f aca="false">가정!$B$5*가정!$B$7*가정!$B$6^(B114-1)/가정!$B$18</f>
        <v>230111.440049954</v>
      </c>
      <c r="J114" s="48" t="n">
        <f aca="false">(가정!$B$12+가정!$B$15*(LOG(가정!$B$9*가정!$B$7*H114*가정!$B$10^B114/(가정!$B$10-1)*(가정!$B$14-1)/가정!$B$13)/LOG(가정!$B$14)))*G114</f>
        <v>756035.511062573</v>
      </c>
      <c r="K114" s="49" t="n">
        <f aca="false">IFERROR(J114/I114,0)</f>
        <v>3.28551901156434</v>
      </c>
      <c r="L114" s="25" t="n">
        <f aca="false">A114/가정!$B$39</f>
        <v>37.6666666666667</v>
      </c>
      <c r="M114" s="26" t="str">
        <f aca="false">IF(K114&lt;1,"미달",IF(K114&gt;4,"과잉","적정"))</f>
        <v>적정</v>
      </c>
    </row>
    <row r="115" customFormat="false" ht="15" hidden="false" customHeight="true" outlineLevel="0" collapsed="false">
      <c r="A115" s="23" t="n">
        <v>114</v>
      </c>
      <c r="B115" s="23" t="n">
        <f aca="false">ROUND(가정!$B$32*(A115+1)^가정!$B$33,0)</f>
        <v>135</v>
      </c>
      <c r="C115" s="47" t="n">
        <f aca="false">IF(B115&gt;=IFERROR(INDEX(가정!$B$42:$B$50,C114),1000000),C114+1,C114)</f>
        <v>5</v>
      </c>
      <c r="D115" s="25" t="n">
        <f aca="false">가정!$B$34^(C115-1)</f>
        <v>39.0625</v>
      </c>
      <c r="E115" s="25" t="n">
        <f aca="false">(B115/10)^가정!$B$36</f>
        <v>64.3478483437154</v>
      </c>
      <c r="F115" s="24" t="n">
        <f aca="false">IF(C115&gt;C114,(F114+E115)*가정!$B$35,F114+E115)</f>
        <v>2189.43250107746</v>
      </c>
      <c r="G115" s="25" t="n">
        <f aca="false">(1+F115*가정!$B$37)*D115</f>
        <v>1749.55664146677</v>
      </c>
      <c r="H115" s="25" t="n">
        <f aca="false">(1+F115*가정!$B$38)*D115^0.6</f>
        <v>305.144442845794</v>
      </c>
      <c r="I115" s="48" t="n">
        <f aca="false">가정!$B$5*가정!$B$7*가정!$B$6^(B115-1)/가정!$B$18</f>
        <v>230111.440049954</v>
      </c>
      <c r="J115" s="48" t="n">
        <f aca="false">(가정!$B$12+가정!$B$15*(LOG(가정!$B$9*가정!$B$7*H115*가정!$B$10^B115/(가정!$B$10-1)*(가정!$B$14-1)/가정!$B$13)/LOG(가정!$B$14)))*G115</f>
        <v>779742.266122151</v>
      </c>
      <c r="K115" s="49" t="n">
        <f aca="false">IFERROR(J115/I115,0)</f>
        <v>3.38854194277728</v>
      </c>
      <c r="L115" s="25" t="n">
        <f aca="false">A115/가정!$B$39</f>
        <v>38</v>
      </c>
      <c r="M115" s="26" t="str">
        <f aca="false">IF(K115&lt;1,"미달",IF(K115&gt;4,"과잉","적정"))</f>
        <v>적정</v>
      </c>
    </row>
    <row r="116" customFormat="false" ht="15" hidden="false" customHeight="true" outlineLevel="0" collapsed="false">
      <c r="A116" s="23" t="n">
        <v>115</v>
      </c>
      <c r="B116" s="23" t="n">
        <f aca="false">ROUND(가정!$B$32*(A116+1)^가정!$B$33,0)</f>
        <v>135</v>
      </c>
      <c r="C116" s="47" t="n">
        <f aca="false">IF(B116&gt;=IFERROR(INDEX(가정!$B$42:$B$50,C115),1000000),C115+1,C115)</f>
        <v>5</v>
      </c>
      <c r="D116" s="25" t="n">
        <f aca="false">가정!$B$34^(C116-1)</f>
        <v>39.0625</v>
      </c>
      <c r="E116" s="25" t="n">
        <f aca="false">(B116/10)^가정!$B$36</f>
        <v>64.3478483437154</v>
      </c>
      <c r="F116" s="24" t="n">
        <f aca="false">IF(C116&gt;C115,(F115+E116)*가정!$B$35,F115+E116)</f>
        <v>2253.78034942118</v>
      </c>
      <c r="G116" s="25" t="n">
        <f aca="false">(1+F116*가정!$B$37)*D116</f>
        <v>1799.8283979853</v>
      </c>
      <c r="H116" s="25" t="n">
        <f aca="false">(1+F116*가정!$B$38)*D116^0.6</f>
        <v>313.847689853682</v>
      </c>
      <c r="I116" s="48" t="n">
        <f aca="false">가정!$B$5*가정!$B$7*가정!$B$6^(B116-1)/가정!$B$18</f>
        <v>230111.440049954</v>
      </c>
      <c r="J116" s="48" t="n">
        <f aca="false">(가정!$B$12+가정!$B$15*(LOG(가정!$B$9*가정!$B$7*H116*가정!$B$10^B116/(가정!$B$10-1)*(가정!$B$14-1)/가정!$B$13)/LOG(가정!$B$14)))*G116</f>
        <v>803487.262915756</v>
      </c>
      <c r="K116" s="49" t="n">
        <f aca="false">IFERROR(J116/I116,0)</f>
        <v>3.49173106187737</v>
      </c>
      <c r="L116" s="25" t="n">
        <f aca="false">A116/가정!$B$39</f>
        <v>38.3333333333333</v>
      </c>
      <c r="M116" s="26" t="str">
        <f aca="false">IF(K116&lt;1,"미달",IF(K116&gt;4,"과잉","적정"))</f>
        <v>적정</v>
      </c>
    </row>
    <row r="117" customFormat="false" ht="15" hidden="false" customHeight="true" outlineLevel="0" collapsed="false">
      <c r="A117" s="23" t="n">
        <v>116</v>
      </c>
      <c r="B117" s="23" t="n">
        <f aca="false">ROUND(가정!$B$32*(A117+1)^가정!$B$33,0)</f>
        <v>136</v>
      </c>
      <c r="C117" s="47" t="n">
        <f aca="false">IF(B117&gt;=IFERROR(INDEX(가정!$B$42:$B$50,C116),1000000),C116+1,C116)</f>
        <v>5</v>
      </c>
      <c r="D117" s="25" t="n">
        <f aca="false">가정!$B$34^(C117-1)</f>
        <v>39.0625</v>
      </c>
      <c r="E117" s="25" t="n">
        <f aca="false">(B117/10)^가정!$B$36</f>
        <v>65.1121825979052</v>
      </c>
      <c r="F117" s="24" t="n">
        <f aca="false">IF(C117&gt;C116,(F116+E117)*가정!$B$35,F116+E117)</f>
        <v>2318.89253201908</v>
      </c>
      <c r="G117" s="25" t="n">
        <f aca="false">(1+F117*가정!$B$37)*D117</f>
        <v>1850.69729063991</v>
      </c>
      <c r="H117" s="25" t="n">
        <f aca="false">(1+F117*가정!$B$38)*D117^0.6</f>
        <v>322.654315451252</v>
      </c>
      <c r="I117" s="48" t="n">
        <f aca="false">가정!$B$5*가정!$B$7*가정!$B$6^(B117-1)/가정!$B$18</f>
        <v>250821.46965445</v>
      </c>
      <c r="J117" s="48" t="n">
        <f aca="false">(가정!$B$12+가정!$B$15*(LOG(가정!$B$9*가정!$B$7*H117*가정!$B$10^B117/(가정!$B$10-1)*(가정!$B$14-1)/가정!$B$13)/LOG(가정!$B$14)))*G117</f>
        <v>831095.206421331</v>
      </c>
      <c r="K117" s="49" t="n">
        <f aca="false">IFERROR(J117/I117,0)</f>
        <v>3.313493089592</v>
      </c>
      <c r="L117" s="25" t="n">
        <f aca="false">A117/가정!$B$39</f>
        <v>38.6666666666667</v>
      </c>
      <c r="M117" s="26" t="str">
        <f aca="false">IF(K117&lt;1,"미달",IF(K117&gt;4,"과잉","적정"))</f>
        <v>적정</v>
      </c>
    </row>
    <row r="118" customFormat="false" ht="15" hidden="false" customHeight="true" outlineLevel="0" collapsed="false">
      <c r="A118" s="23" t="n">
        <v>117</v>
      </c>
      <c r="B118" s="23" t="n">
        <f aca="false">ROUND(가정!$B$32*(A118+1)^가정!$B$33,0)</f>
        <v>136</v>
      </c>
      <c r="C118" s="47" t="n">
        <f aca="false">IF(B118&gt;=IFERROR(INDEX(가정!$B$42:$B$50,C117),1000000),C117+1,C117)</f>
        <v>5</v>
      </c>
      <c r="D118" s="25" t="n">
        <f aca="false">가정!$B$34^(C118-1)</f>
        <v>39.0625</v>
      </c>
      <c r="E118" s="25" t="n">
        <f aca="false">(B118/10)^가정!$B$36</f>
        <v>65.1121825979052</v>
      </c>
      <c r="F118" s="24" t="n">
        <f aca="false">IF(C118&gt;C117,(F117+E118)*가정!$B$35,F117+E118)</f>
        <v>2384.00471461699</v>
      </c>
      <c r="G118" s="25" t="n">
        <f aca="false">(1+F118*가정!$B$37)*D118</f>
        <v>1901.56618329452</v>
      </c>
      <c r="H118" s="25" t="n">
        <f aca="false">(1+F118*가정!$B$38)*D118^0.6</f>
        <v>331.460941048822</v>
      </c>
      <c r="I118" s="48" t="n">
        <f aca="false">가정!$B$5*가정!$B$7*가정!$B$6^(B118-1)/가정!$B$18</f>
        <v>250821.46965445</v>
      </c>
      <c r="J118" s="48" t="n">
        <f aca="false">(가정!$B$12+가정!$B$15*(LOG(가정!$B$9*가정!$B$7*H118*가정!$B$10^B118/(가정!$B$10-1)*(가정!$B$14-1)/가정!$B$13)/LOG(가정!$B$14)))*G118</f>
        <v>855294.485844281</v>
      </c>
      <c r="K118" s="49" t="n">
        <f aca="false">IFERROR(J118/I118,0)</f>
        <v>3.40997318539994</v>
      </c>
      <c r="L118" s="25" t="n">
        <f aca="false">A118/가정!$B$39</f>
        <v>39</v>
      </c>
      <c r="M118" s="26" t="str">
        <f aca="false">IF(K118&lt;1,"미달",IF(K118&gt;4,"과잉","적정"))</f>
        <v>적정</v>
      </c>
    </row>
    <row r="119" customFormat="false" ht="15" hidden="false" customHeight="true" outlineLevel="0" collapsed="false">
      <c r="A119" s="23" t="n">
        <v>118</v>
      </c>
      <c r="B119" s="23" t="n">
        <f aca="false">ROUND(가정!$B$32*(A119+1)^가정!$B$33,0)</f>
        <v>136</v>
      </c>
      <c r="C119" s="47" t="n">
        <f aca="false">IF(B119&gt;=IFERROR(INDEX(가정!$B$42:$B$50,C118),1000000),C118+1,C118)</f>
        <v>5</v>
      </c>
      <c r="D119" s="25" t="n">
        <f aca="false">가정!$B$34^(C119-1)</f>
        <v>39.0625</v>
      </c>
      <c r="E119" s="25" t="n">
        <f aca="false">(B119/10)^가정!$B$36</f>
        <v>65.1121825979052</v>
      </c>
      <c r="F119" s="24" t="n">
        <f aca="false">IF(C119&gt;C118,(F118+E119)*가정!$B$35,F118+E119)</f>
        <v>2449.1168972149</v>
      </c>
      <c r="G119" s="25" t="n">
        <f aca="false">(1+F119*가정!$B$37)*D119</f>
        <v>1952.43507594914</v>
      </c>
      <c r="H119" s="25" t="n">
        <f aca="false">(1+F119*가정!$B$38)*D119^0.6</f>
        <v>340.267566646392</v>
      </c>
      <c r="I119" s="48" t="n">
        <f aca="false">가정!$B$5*가정!$B$7*가정!$B$6^(B119-1)/가정!$B$18</f>
        <v>250821.46965445</v>
      </c>
      <c r="J119" s="48" t="n">
        <f aca="false">(가정!$B$12+가정!$B$15*(LOG(가정!$B$9*가정!$B$7*H119*가정!$B$10^B119/(가정!$B$10-1)*(가정!$B$14-1)/가정!$B$13)/LOG(가정!$B$14)))*G119</f>
        <v>879529.790453651</v>
      </c>
      <c r="K119" s="49" t="n">
        <f aca="false">IFERROR(J119/I119,0)</f>
        <v>3.50659691000677</v>
      </c>
      <c r="L119" s="25" t="n">
        <f aca="false">A119/가정!$B$39</f>
        <v>39.3333333333333</v>
      </c>
      <c r="M119" s="26" t="str">
        <f aca="false">IF(K119&lt;1,"미달",IF(K119&gt;4,"과잉","적정"))</f>
        <v>적정</v>
      </c>
    </row>
    <row r="120" customFormat="false" ht="15" hidden="false" customHeight="true" outlineLevel="0" collapsed="false">
      <c r="A120" s="23" t="n">
        <v>119</v>
      </c>
      <c r="B120" s="23" t="n">
        <f aca="false">ROUND(가정!$B$32*(A120+1)^가정!$B$33,0)</f>
        <v>137</v>
      </c>
      <c r="C120" s="47" t="n">
        <f aca="false">IF(B120&gt;=IFERROR(INDEX(가정!$B$42:$B$50,C119),1000000),C119+1,C119)</f>
        <v>5</v>
      </c>
      <c r="D120" s="25" t="n">
        <f aca="false">가정!$B$34^(C120-1)</f>
        <v>39.0625</v>
      </c>
      <c r="E120" s="25" t="n">
        <f aca="false">(B120/10)^가정!$B$36</f>
        <v>65.8798963856702</v>
      </c>
      <c r="F120" s="24" t="n">
        <f aca="false">IF(C120&gt;C119,(F119+E120)*가정!$B$35,F119+E120)</f>
        <v>2514.99679360057</v>
      </c>
      <c r="G120" s="25" t="n">
        <f aca="false">(1+F120*가정!$B$37)*D120</f>
        <v>2003.90374500044</v>
      </c>
      <c r="H120" s="25" t="n">
        <f aca="false">(1+F120*가정!$B$38)*D120^0.6</f>
        <v>349.17802792609</v>
      </c>
      <c r="I120" s="48" t="n">
        <f aca="false">가정!$B$5*가정!$B$7*가정!$B$6^(B120-1)/가정!$B$18</f>
        <v>273395.401923351</v>
      </c>
      <c r="J120" s="48" t="n">
        <f aca="false">(가정!$B$12+가정!$B$15*(LOG(가정!$B$9*가정!$B$7*H120*가정!$B$10^B120/(가정!$B$10-1)*(가정!$B$14-1)/가정!$B$13)/LOG(가정!$B$14)))*G120</f>
        <v>907922.921899094</v>
      </c>
      <c r="K120" s="49" t="n">
        <f aca="false">IFERROR(J120/I120,0)</f>
        <v>3.32091511236769</v>
      </c>
      <c r="L120" s="25" t="n">
        <f aca="false">A120/가정!$B$39</f>
        <v>39.6666666666667</v>
      </c>
      <c r="M120" s="26" t="str">
        <f aca="false">IF(K120&lt;1,"미달",IF(K120&gt;4,"과잉","적정"))</f>
        <v>적정</v>
      </c>
    </row>
    <row r="121" customFormat="false" ht="15" hidden="false" customHeight="true" outlineLevel="0" collapsed="false">
      <c r="A121" s="27" t="n">
        <v>120</v>
      </c>
      <c r="B121" s="27" t="n">
        <f aca="false">ROUND(가정!$B$32*(A121+1)^가정!$B$33,0)</f>
        <v>137</v>
      </c>
      <c r="C121" s="50" t="n">
        <f aca="false">IF(B121&gt;=IFERROR(INDEX(가정!$B$42:$B$50,C120),1000000),C120+1,C120)</f>
        <v>5</v>
      </c>
      <c r="D121" s="29" t="n">
        <f aca="false">가정!$B$34^(C121-1)</f>
        <v>39.0625</v>
      </c>
      <c r="E121" s="29" t="n">
        <f aca="false">(B121/10)^가정!$B$36</f>
        <v>65.8798963856702</v>
      </c>
      <c r="F121" s="28" t="n">
        <f aca="false">IF(C121&gt;C120,(F120+E121)*가정!$B$35,F120+E121)</f>
        <v>2580.87668998624</v>
      </c>
      <c r="G121" s="29" t="n">
        <f aca="false">(1+F121*가정!$B$37)*D121</f>
        <v>2055.37241405175</v>
      </c>
      <c r="H121" s="29" t="n">
        <f aca="false">(1+F121*가정!$B$38)*D121^0.6</f>
        <v>358.088489205788</v>
      </c>
      <c r="I121" s="51" t="n">
        <f aca="false">가정!$B$5*가정!$B$7*가정!$B$6^(B121-1)/가정!$B$18</f>
        <v>273395.401923351</v>
      </c>
      <c r="J121" s="51" t="n">
        <f aca="false">(가정!$B$12+가정!$B$15*(LOG(가정!$B$9*가정!$B$7*H121*가정!$B$10^B121/(가정!$B$10-1)*(가정!$B$14-1)/가정!$B$13)/LOG(가정!$B$14)))*G121</f>
        <v>932613.21216049</v>
      </c>
      <c r="K121" s="52" t="n">
        <f aca="false">IFERROR(J121/I121,0)</f>
        <v>3.41122493501905</v>
      </c>
      <c r="L121" s="29" t="n">
        <f aca="false">A121/가정!$B$39</f>
        <v>40</v>
      </c>
      <c r="M121" s="30" t="str">
        <f aca="false">IF(K121&lt;1,"미달",IF(K121&gt;4,"과잉","적정"))</f>
        <v>적정</v>
      </c>
    </row>
    <row r="122" customFormat="false" ht="15" hidden="false" customHeight="true" outlineLevel="0" collapsed="false">
      <c r="A122" s="23" t="n">
        <v>121</v>
      </c>
      <c r="B122" s="23" t="n">
        <f aca="false">ROUND(가정!$B$32*(A122+1)^가정!$B$33,0)</f>
        <v>137</v>
      </c>
      <c r="C122" s="47" t="n">
        <f aca="false">IF(B122&gt;=IFERROR(INDEX(가정!$B$42:$B$50,C121),1000000),C121+1,C121)</f>
        <v>5</v>
      </c>
      <c r="D122" s="25" t="n">
        <f aca="false">가정!$B$34^(C122-1)</f>
        <v>39.0625</v>
      </c>
      <c r="E122" s="25" t="n">
        <f aca="false">(B122/10)^가정!$B$36</f>
        <v>65.8798963856702</v>
      </c>
      <c r="F122" s="24" t="n">
        <f aca="false">IF(C122&gt;C121,(F121+E122)*가정!$B$35,F121+E122)</f>
        <v>2646.75658637191</v>
      </c>
      <c r="G122" s="25" t="n">
        <f aca="false">(1+F122*가정!$B$37)*D122</f>
        <v>2106.84108310305</v>
      </c>
      <c r="H122" s="25" t="n">
        <f aca="false">(1+F122*가정!$B$38)*D122^0.6</f>
        <v>366.998950485487</v>
      </c>
      <c r="I122" s="48" t="n">
        <f aca="false">가정!$B$5*가정!$B$7*가정!$B$6^(B122-1)/가정!$B$18</f>
        <v>273395.401923351</v>
      </c>
      <c r="J122" s="48" t="n">
        <f aca="false">(가정!$B$12+가정!$B$15*(LOG(가정!$B$9*가정!$B$7*H122*가정!$B$10^B122/(가정!$B$10-1)*(가정!$B$14-1)/가정!$B$13)/LOG(가정!$B$14)))*G122</f>
        <v>957337.622100607</v>
      </c>
      <c r="K122" s="49" t="n">
        <f aca="false">IFERROR(J122/I122,0)</f>
        <v>3.50165955742375</v>
      </c>
      <c r="L122" s="25" t="n">
        <f aca="false">A122/가정!$B$39</f>
        <v>40.3333333333333</v>
      </c>
      <c r="M122" s="26" t="str">
        <f aca="false">IF(K122&lt;1,"미달",IF(K122&gt;4,"과잉","적정"))</f>
        <v>적정</v>
      </c>
    </row>
    <row r="123" customFormat="false" ht="15" hidden="false" customHeight="true" outlineLevel="0" collapsed="false">
      <c r="A123" s="23" t="n">
        <v>122</v>
      </c>
      <c r="B123" s="23" t="n">
        <f aca="false">ROUND(가정!$B$32*(A123+1)^가정!$B$33,0)</f>
        <v>138</v>
      </c>
      <c r="C123" s="47" t="n">
        <f aca="false">IF(B123&gt;=IFERROR(INDEX(가정!$B$42:$B$50,C122),1000000),C122+1,C122)</f>
        <v>5</v>
      </c>
      <c r="D123" s="25" t="n">
        <f aca="false">가정!$B$34^(C123-1)</f>
        <v>39.0625</v>
      </c>
      <c r="E123" s="25" t="n">
        <f aca="false">(B123/10)^가정!$B$36</f>
        <v>66.6509798179439</v>
      </c>
      <c r="F123" s="24" t="n">
        <f aca="false">IF(C123&gt;C122,(F122+E123)*가정!$B$35,F122+E123)</f>
        <v>2713.40756618985</v>
      </c>
      <c r="G123" s="25" t="n">
        <f aca="false">(1+F123*가정!$B$37)*D123</f>
        <v>2158.91216108582</v>
      </c>
      <c r="H123" s="25" t="n">
        <f aca="false">(1+F123*가정!$B$38)*D123^0.6</f>
        <v>376.013703202234</v>
      </c>
      <c r="I123" s="48" t="n">
        <f aca="false">가정!$B$5*가정!$B$7*가정!$B$6^(B123-1)/가정!$B$18</f>
        <v>298000.988096452</v>
      </c>
      <c r="J123" s="48" t="n">
        <f aca="false">(가정!$B$12+가정!$B$15*(LOG(가정!$B$9*가정!$B$7*H123*가정!$B$10^B123/(가정!$B$10-1)*(가정!$B$14-1)/가정!$B$13)/LOG(가정!$B$14)))*G123</f>
        <v>986518.412658645</v>
      </c>
      <c r="K123" s="49" t="n">
        <f aca="false">IFERROR(J123/I123,0)</f>
        <v>3.3104534953399</v>
      </c>
      <c r="L123" s="25" t="n">
        <f aca="false">A123/가정!$B$39</f>
        <v>40.6666666666667</v>
      </c>
      <c r="M123" s="26" t="str">
        <f aca="false">IF(K123&lt;1,"미달",IF(K123&gt;4,"과잉","적정"))</f>
        <v>적정</v>
      </c>
    </row>
    <row r="124" customFormat="false" ht="15" hidden="false" customHeight="true" outlineLevel="0" collapsed="false">
      <c r="A124" s="23" t="n">
        <v>123</v>
      </c>
      <c r="B124" s="23" t="n">
        <f aca="false">ROUND(가정!$B$32*(A124+1)^가정!$B$33,0)</f>
        <v>138</v>
      </c>
      <c r="C124" s="47" t="n">
        <f aca="false">IF(B124&gt;=IFERROR(INDEX(가정!$B$42:$B$50,C123),1000000),C123+1,C123)</f>
        <v>5</v>
      </c>
      <c r="D124" s="25" t="n">
        <f aca="false">가정!$B$34^(C124-1)</f>
        <v>39.0625</v>
      </c>
      <c r="E124" s="25" t="n">
        <f aca="false">(B124/10)^가정!$B$36</f>
        <v>66.6509798179439</v>
      </c>
      <c r="F124" s="24" t="n">
        <f aca="false">IF(C124&gt;C123,(F123+E124)*가정!$B$35,F123+E124)</f>
        <v>2780.05854600779</v>
      </c>
      <c r="G124" s="25" t="n">
        <f aca="false">(1+F124*가정!$B$37)*D124</f>
        <v>2210.98323906859</v>
      </c>
      <c r="H124" s="25" t="n">
        <f aca="false">(1+F124*가정!$B$38)*D124^0.6</f>
        <v>385.028455918982</v>
      </c>
      <c r="I124" s="48" t="n">
        <f aca="false">가정!$B$5*가정!$B$7*가정!$B$6^(B124-1)/가정!$B$18</f>
        <v>298000.988096452</v>
      </c>
      <c r="J124" s="48" t="n">
        <f aca="false">(가정!$B$12+가정!$B$15*(LOG(가정!$B$9*가정!$B$7*H124*가정!$B$10^B124/(가정!$B$10-1)*(가정!$B$14-1)/가정!$B$13)/LOG(가정!$B$14)))*G124</f>
        <v>1011699.01151881</v>
      </c>
      <c r="K124" s="49" t="n">
        <f aca="false">IFERROR(J124/I124,0)</f>
        <v>3.39495186905674</v>
      </c>
      <c r="L124" s="25" t="n">
        <f aca="false">A124/가정!$B$39</f>
        <v>41</v>
      </c>
      <c r="M124" s="26" t="str">
        <f aca="false">IF(K124&lt;1,"미달",IF(K124&gt;4,"과잉","적정"))</f>
        <v>적정</v>
      </c>
    </row>
    <row r="125" customFormat="false" ht="15" hidden="false" customHeight="true" outlineLevel="0" collapsed="false">
      <c r="A125" s="23" t="n">
        <v>124</v>
      </c>
      <c r="B125" s="23" t="n">
        <f aca="false">ROUND(가정!$B$32*(A125+1)^가정!$B$33,0)</f>
        <v>138</v>
      </c>
      <c r="C125" s="47" t="n">
        <f aca="false">IF(B125&gt;=IFERROR(INDEX(가정!$B$42:$B$50,C124),1000000),C124+1,C124)</f>
        <v>5</v>
      </c>
      <c r="D125" s="25" t="n">
        <f aca="false">가정!$B$34^(C125-1)</f>
        <v>39.0625</v>
      </c>
      <c r="E125" s="25" t="n">
        <f aca="false">(B125/10)^가정!$B$36</f>
        <v>66.6509798179439</v>
      </c>
      <c r="F125" s="24" t="n">
        <f aca="false">IF(C125&gt;C124,(F124+E125)*가정!$B$35,F124+E125)</f>
        <v>2846.70952582574</v>
      </c>
      <c r="G125" s="25" t="n">
        <f aca="false">(1+F125*가정!$B$37)*D125</f>
        <v>2263.05431705136</v>
      </c>
      <c r="H125" s="25" t="n">
        <f aca="false">(1+F125*가정!$B$38)*D125^0.6</f>
        <v>394.043208635729</v>
      </c>
      <c r="I125" s="48" t="n">
        <f aca="false">가정!$B$5*가정!$B$7*가정!$B$6^(B125-1)/가정!$B$18</f>
        <v>298000.988096452</v>
      </c>
      <c r="J125" s="48" t="n">
        <f aca="false">(가정!$B$12+가정!$B$15*(LOG(가정!$B$9*가정!$B$7*H125*가정!$B$10^B125/(가정!$B$10-1)*(가정!$B$14-1)/가정!$B$13)/LOG(가정!$B$14)))*G125</f>
        <v>1036912.07530006</v>
      </c>
      <c r="K125" s="49" t="n">
        <f aca="false">IFERROR(J125/I125,0)</f>
        <v>3.47955918510059</v>
      </c>
      <c r="L125" s="25" t="n">
        <f aca="false">A125/가정!$B$39</f>
        <v>41.3333333333333</v>
      </c>
      <c r="M125" s="26" t="str">
        <f aca="false">IF(K125&lt;1,"미달",IF(K125&gt;4,"과잉","적정"))</f>
        <v>적정</v>
      </c>
    </row>
    <row r="126" customFormat="false" ht="15" hidden="false" customHeight="true" outlineLevel="0" collapsed="false">
      <c r="A126" s="23" t="n">
        <v>125</v>
      </c>
      <c r="B126" s="23" t="n">
        <f aca="false">ROUND(가정!$B$32*(A126+1)^가정!$B$33,0)</f>
        <v>138</v>
      </c>
      <c r="C126" s="47" t="n">
        <f aca="false">IF(B126&gt;=IFERROR(INDEX(가정!$B$42:$B$50,C125),1000000),C125+1,C125)</f>
        <v>5</v>
      </c>
      <c r="D126" s="25" t="n">
        <f aca="false">가정!$B$34^(C126-1)</f>
        <v>39.0625</v>
      </c>
      <c r="E126" s="25" t="n">
        <f aca="false">(B126/10)^가정!$B$36</f>
        <v>66.6509798179439</v>
      </c>
      <c r="F126" s="24" t="n">
        <f aca="false">IF(C126&gt;C125,(F125+E126)*가정!$B$35,F125+E126)</f>
        <v>2913.36050564368</v>
      </c>
      <c r="G126" s="25" t="n">
        <f aca="false">(1+F126*가정!$B$37)*D126</f>
        <v>2315.12539503413</v>
      </c>
      <c r="H126" s="25" t="n">
        <f aca="false">(1+F126*가정!$B$38)*D126^0.6</f>
        <v>403.057961352476</v>
      </c>
      <c r="I126" s="48" t="n">
        <f aca="false">가정!$B$5*가정!$B$7*가정!$B$6^(B126-1)/가정!$B$18</f>
        <v>298000.988096452</v>
      </c>
      <c r="J126" s="48" t="n">
        <f aca="false">(가정!$B$12+가정!$B$15*(LOG(가정!$B$9*가정!$B$7*H126*가정!$B$10^B126/(가정!$B$10-1)*(가정!$B$14-1)/가정!$B$13)/LOG(가정!$B$14)))*G126</f>
        <v>1062156.85692623</v>
      </c>
      <c r="K126" s="49" t="n">
        <f aca="false">IFERROR(J126/I126,0)</f>
        <v>3.5642729365127</v>
      </c>
      <c r="L126" s="25" t="n">
        <f aca="false">A126/가정!$B$39</f>
        <v>41.6666666666667</v>
      </c>
      <c r="M126" s="26" t="str">
        <f aca="false">IF(K126&lt;1,"미달",IF(K126&gt;4,"과잉","적정"))</f>
        <v>적정</v>
      </c>
    </row>
    <row r="127" customFormat="false" ht="15" hidden="false" customHeight="true" outlineLevel="0" collapsed="false">
      <c r="A127" s="23" t="n">
        <v>126</v>
      </c>
      <c r="B127" s="23" t="n">
        <f aca="false">ROUND(가정!$B$32*(A127+1)^가정!$B$33,0)</f>
        <v>139</v>
      </c>
      <c r="C127" s="47" t="n">
        <f aca="false">IF(B127&gt;=IFERROR(INDEX(가정!$B$42:$B$50,C126),1000000),C126+1,C126)</f>
        <v>5</v>
      </c>
      <c r="D127" s="25" t="n">
        <f aca="false">가정!$B$34^(C127-1)</f>
        <v>39.0625</v>
      </c>
      <c r="E127" s="25" t="n">
        <f aca="false">(B127/10)^가정!$B$36</f>
        <v>67.4254231062048</v>
      </c>
      <c r="F127" s="24" t="n">
        <f aca="false">IF(C127&gt;C126,(F126+E127)*가정!$B$35,F126+E127)</f>
        <v>2980.78592874989</v>
      </c>
      <c r="G127" s="25" t="n">
        <f aca="false">(1+F127*가정!$B$37)*D127</f>
        <v>2367.80150683585</v>
      </c>
      <c r="H127" s="25" t="n">
        <f aca="false">(1+F127*가정!$B$38)*D127^0.6</f>
        <v>412.177459937265</v>
      </c>
      <c r="I127" s="48" t="n">
        <f aca="false">가정!$B$5*가정!$B$7*가정!$B$6^(B127-1)/가정!$B$18</f>
        <v>324821.077025133</v>
      </c>
      <c r="J127" s="48" t="n">
        <f aca="false">(가정!$B$12+가정!$B$15*(LOG(가정!$B$9*가정!$B$7*H127*가정!$B$10^B127/(가정!$B$10-1)*(가정!$B$14-1)/가정!$B$13)/LOG(가정!$B$14)))*G127</f>
        <v>1092259.54663586</v>
      </c>
      <c r="K127" s="49" t="n">
        <f aca="false">IFERROR(J127/I127,0)</f>
        <v>3.36264985215645</v>
      </c>
      <c r="L127" s="25" t="n">
        <f aca="false">A127/가정!$B$39</f>
        <v>42</v>
      </c>
      <c r="M127" s="26" t="str">
        <f aca="false">IF(K127&lt;1,"미달",IF(K127&gt;4,"과잉","적정"))</f>
        <v>적정</v>
      </c>
    </row>
    <row r="128" customFormat="false" ht="15" hidden="false" customHeight="true" outlineLevel="0" collapsed="false">
      <c r="A128" s="23" t="n">
        <v>127</v>
      </c>
      <c r="B128" s="23" t="n">
        <f aca="false">ROUND(가정!$B$32*(A128+1)^가정!$B$33,0)</f>
        <v>139</v>
      </c>
      <c r="C128" s="47" t="n">
        <f aca="false">IF(B128&gt;=IFERROR(INDEX(가정!$B$42:$B$50,C127),1000000),C127+1,C127)</f>
        <v>5</v>
      </c>
      <c r="D128" s="25" t="n">
        <f aca="false">가정!$B$34^(C128-1)</f>
        <v>39.0625</v>
      </c>
      <c r="E128" s="25" t="n">
        <f aca="false">(B128/10)^가정!$B$36</f>
        <v>67.4254231062048</v>
      </c>
      <c r="F128" s="24" t="n">
        <f aca="false">IF(C128&gt;C127,(F127+E128)*가정!$B$35,F127+E128)</f>
        <v>3048.21135185609</v>
      </c>
      <c r="G128" s="25" t="n">
        <f aca="false">(1+F128*가정!$B$37)*D128</f>
        <v>2420.47761863757</v>
      </c>
      <c r="H128" s="25" t="n">
        <f aca="false">(1+F128*가정!$B$38)*D128^0.6</f>
        <v>421.296958522053</v>
      </c>
      <c r="I128" s="48" t="n">
        <f aca="false">가정!$B$5*가정!$B$7*가정!$B$6^(B128-1)/가정!$B$18</f>
        <v>324821.077025133</v>
      </c>
      <c r="J128" s="48" t="n">
        <f aca="false">(가정!$B$12+가정!$B$15*(LOG(가정!$B$9*가정!$B$7*H128*가정!$B$10^B128/(가정!$B$10-1)*(가정!$B$14-1)/가정!$B$13)/LOG(가정!$B$14)))*G128</f>
        <v>1117961.07010384</v>
      </c>
      <c r="K128" s="49" t="n">
        <f aca="false">IFERROR(J128/I128,0)</f>
        <v>3.44177502378436</v>
      </c>
      <c r="L128" s="25" t="n">
        <f aca="false">A128/가정!$B$39</f>
        <v>42.3333333333333</v>
      </c>
      <c r="M128" s="26" t="str">
        <f aca="false">IF(K128&lt;1,"미달",IF(K128&gt;4,"과잉","적정"))</f>
        <v>적정</v>
      </c>
    </row>
    <row r="129" customFormat="false" ht="15" hidden="false" customHeight="true" outlineLevel="0" collapsed="false">
      <c r="A129" s="23" t="n">
        <v>128</v>
      </c>
      <c r="B129" s="23" t="n">
        <f aca="false">ROUND(가정!$B$32*(A129+1)^가정!$B$33,0)</f>
        <v>139</v>
      </c>
      <c r="C129" s="47" t="n">
        <f aca="false">IF(B129&gt;=IFERROR(INDEX(가정!$B$42:$B$50,C128),1000000),C128+1,C128)</f>
        <v>5</v>
      </c>
      <c r="D129" s="25" t="n">
        <f aca="false">가정!$B$34^(C129-1)</f>
        <v>39.0625</v>
      </c>
      <c r="E129" s="25" t="n">
        <f aca="false">(B129/10)^가정!$B$36</f>
        <v>67.4254231062048</v>
      </c>
      <c r="F129" s="24" t="n">
        <f aca="false">IF(C129&gt;C128,(F128+E129)*가정!$B$35,F128+E129)</f>
        <v>3115.6367749623</v>
      </c>
      <c r="G129" s="25" t="n">
        <f aca="false">(1+F129*가정!$B$37)*D129</f>
        <v>2473.15373043929</v>
      </c>
      <c r="H129" s="25" t="n">
        <f aca="false">(1+F129*가정!$B$38)*D129^0.6</f>
        <v>430.416457106841</v>
      </c>
      <c r="I129" s="48" t="n">
        <f aca="false">가정!$B$5*가정!$B$7*가정!$B$6^(B129-1)/가정!$B$18</f>
        <v>324821.077025133</v>
      </c>
      <c r="J129" s="48" t="n">
        <f aca="false">(가정!$B$12+가정!$B$15*(LOG(가정!$B$9*가정!$B$7*H129*가정!$B$10^B129/(가정!$B$10-1)*(가정!$B$14-1)/가정!$B$13)/LOG(가정!$B$14)))*G129</f>
        <v>1143692.94153875</v>
      </c>
      <c r="K129" s="49" t="n">
        <f aca="false">IFERROR(J129/I129,0)</f>
        <v>3.52099362520817</v>
      </c>
      <c r="L129" s="25" t="n">
        <f aca="false">A129/가정!$B$39</f>
        <v>42.6666666666667</v>
      </c>
      <c r="M129" s="26" t="str">
        <f aca="false">IF(K129&lt;1,"미달",IF(K129&gt;4,"과잉","적정"))</f>
        <v>적정</v>
      </c>
    </row>
    <row r="130" customFormat="false" ht="15" hidden="false" customHeight="true" outlineLevel="0" collapsed="false">
      <c r="A130" s="23" t="n">
        <v>129</v>
      </c>
      <c r="B130" s="23" t="n">
        <f aca="false">ROUND(가정!$B$32*(A130+1)^가정!$B$33,0)</f>
        <v>140</v>
      </c>
      <c r="C130" s="47" t="n">
        <f aca="false">IF(B130&gt;=IFERROR(INDEX(가정!$B$42:$B$50,C129),1000000),C129+1,C129)</f>
        <v>5</v>
      </c>
      <c r="D130" s="25" t="n">
        <f aca="false">가정!$B$34^(C130-1)</f>
        <v>39.0625</v>
      </c>
      <c r="E130" s="25" t="n">
        <f aca="false">(B130/10)^가정!$B$36</f>
        <v>68.2032165607368</v>
      </c>
      <c r="F130" s="24" t="n">
        <f aca="false">IF(C130&gt;C129,(F129+E130)*가정!$B$35,F129+E130)</f>
        <v>3183.83999152303</v>
      </c>
      <c r="G130" s="25" t="n">
        <f aca="false">(1+F130*가정!$B$37)*D130</f>
        <v>2526.43749337737</v>
      </c>
      <c r="H130" s="25" t="n">
        <f aca="false">(1+F130*가정!$B$38)*D130^0.6</f>
        <v>439.641154680099</v>
      </c>
      <c r="I130" s="48" t="n">
        <f aca="false">가정!$B$5*가정!$B$7*가정!$B$6^(B130-1)/가정!$B$18</f>
        <v>354054.973957395</v>
      </c>
      <c r="J130" s="48" t="n">
        <f aca="false">(가정!$B$12+가정!$B$15*(LOG(가정!$B$9*가정!$B$7*H130*가정!$B$10^B130/(가정!$B$10-1)*(가정!$B$14-1)/가정!$B$13)/LOG(가정!$B$14)))*G130</f>
        <v>1174588.59647076</v>
      </c>
      <c r="K130" s="49" t="n">
        <f aca="false">IFERROR(J130/I130,0)</f>
        <v>3.31753169103084</v>
      </c>
      <c r="L130" s="25" t="n">
        <f aca="false">A130/가정!$B$39</f>
        <v>43</v>
      </c>
      <c r="M130" s="26" t="str">
        <f aca="false">IF(K130&lt;1,"미달",IF(K130&gt;4,"과잉","적정"))</f>
        <v>적정</v>
      </c>
    </row>
    <row r="131" customFormat="false" ht="15" hidden="false" customHeight="true" outlineLevel="0" collapsed="false">
      <c r="A131" s="23" t="n">
        <v>130</v>
      </c>
      <c r="B131" s="23" t="n">
        <f aca="false">ROUND(가정!$B$32*(A131+1)^가정!$B$33,0)</f>
        <v>140</v>
      </c>
      <c r="C131" s="47" t="n">
        <f aca="false">IF(B131&gt;=IFERROR(INDEX(가정!$B$42:$B$50,C130),1000000),C130+1,C130)</f>
        <v>5</v>
      </c>
      <c r="D131" s="25" t="n">
        <f aca="false">가정!$B$34^(C131-1)</f>
        <v>39.0625</v>
      </c>
      <c r="E131" s="25" t="n">
        <f aca="false">(B131/10)^가정!$B$36</f>
        <v>68.2032165607368</v>
      </c>
      <c r="F131" s="24" t="n">
        <f aca="false">IF(C131&gt;C130,(F130+E131)*가정!$B$35,F130+E131)</f>
        <v>3252.04320808377</v>
      </c>
      <c r="G131" s="25" t="n">
        <f aca="false">(1+F131*가정!$B$37)*D131</f>
        <v>2579.72125631545</v>
      </c>
      <c r="H131" s="25" t="n">
        <f aca="false">(1+F131*가정!$B$38)*D131^0.6</f>
        <v>448.865852253356</v>
      </c>
      <c r="I131" s="48" t="n">
        <f aca="false">가정!$B$5*가정!$B$7*가정!$B$6^(B131-1)/가정!$B$18</f>
        <v>354054.973957395</v>
      </c>
      <c r="J131" s="48" t="n">
        <f aca="false">(가정!$B$12+가정!$B$15*(LOG(가정!$B$9*가정!$B$7*H131*가정!$B$10^B131/(가정!$B$10-1)*(가정!$B$14-1)/가정!$B$13)/LOG(가정!$B$14)))*G131</f>
        <v>1200779.2745489</v>
      </c>
      <c r="K131" s="49" t="n">
        <f aca="false">IFERROR(J131/I131,0)</f>
        <v>3.39150516974066</v>
      </c>
      <c r="L131" s="25" t="n">
        <f aca="false">A131/가정!$B$39</f>
        <v>43.3333333333333</v>
      </c>
      <c r="M131" s="26" t="str">
        <f aca="false">IF(K131&lt;1,"미달",IF(K131&gt;4,"과잉","적정"))</f>
        <v>적정</v>
      </c>
    </row>
    <row r="132" customFormat="false" ht="15" hidden="false" customHeight="true" outlineLevel="0" collapsed="false">
      <c r="A132" s="23" t="n">
        <v>131</v>
      </c>
      <c r="B132" s="23" t="n">
        <f aca="false">ROUND(가정!$B$32*(A132+1)^가정!$B$33,0)</f>
        <v>140</v>
      </c>
      <c r="C132" s="47" t="n">
        <f aca="false">IF(B132&gt;=IFERROR(INDEX(가정!$B$42:$B$50,C131),1000000),C131+1,C131)</f>
        <v>5</v>
      </c>
      <c r="D132" s="25" t="n">
        <f aca="false">가정!$B$34^(C132-1)</f>
        <v>39.0625</v>
      </c>
      <c r="E132" s="25" t="n">
        <f aca="false">(B132/10)^가정!$B$36</f>
        <v>68.2032165607368</v>
      </c>
      <c r="F132" s="24" t="n">
        <f aca="false">IF(C132&gt;C131,(F131+E132)*가정!$B$35,F131+E132)</f>
        <v>3320.24642464451</v>
      </c>
      <c r="G132" s="25" t="n">
        <f aca="false">(1+F132*가정!$B$37)*D132</f>
        <v>2633.00501925352</v>
      </c>
      <c r="H132" s="25" t="n">
        <f aca="false">(1+F132*가정!$B$38)*D132^0.6</f>
        <v>458.090549826613</v>
      </c>
      <c r="I132" s="48" t="n">
        <f aca="false">가정!$B$5*가정!$B$7*가정!$B$6^(B132-1)/가정!$B$18</f>
        <v>354054.973957395</v>
      </c>
      <c r="J132" s="48" t="n">
        <f aca="false">(가정!$B$12+가정!$B$15*(LOG(가정!$B$9*가정!$B$7*H132*가정!$B$10^B132/(가정!$B$10-1)*(가정!$B$14-1)/가정!$B$13)/LOG(가정!$B$14)))*G132</f>
        <v>1226999.08784851</v>
      </c>
      <c r="K132" s="49" t="n">
        <f aca="false">IFERROR(J132/I132,0)</f>
        <v>3.46556093855684</v>
      </c>
      <c r="L132" s="25" t="n">
        <f aca="false">A132/가정!$B$39</f>
        <v>43.6666666666667</v>
      </c>
      <c r="M132" s="26" t="str">
        <f aca="false">IF(K132&lt;1,"미달",IF(K132&gt;4,"과잉","적정"))</f>
        <v>적정</v>
      </c>
    </row>
    <row r="133" customFormat="false" ht="15" hidden="false" customHeight="true" outlineLevel="0" collapsed="false">
      <c r="A133" s="23" t="n">
        <v>132</v>
      </c>
      <c r="B133" s="23" t="n">
        <f aca="false">ROUND(가정!$B$32*(A133+1)^가정!$B$33,0)</f>
        <v>140</v>
      </c>
      <c r="C133" s="47" t="n">
        <f aca="false">IF(B133&gt;=IFERROR(INDEX(가정!$B$42:$B$50,C132),1000000),C132+1,C132)</f>
        <v>5</v>
      </c>
      <c r="D133" s="25" t="n">
        <f aca="false">가정!$B$34^(C133-1)</f>
        <v>39.0625</v>
      </c>
      <c r="E133" s="25" t="n">
        <f aca="false">(B133/10)^가정!$B$36</f>
        <v>68.2032165607368</v>
      </c>
      <c r="F133" s="24" t="n">
        <f aca="false">IF(C133&gt;C132,(F132+E133)*가정!$B$35,F132+E133)</f>
        <v>3388.44964120525</v>
      </c>
      <c r="G133" s="25" t="n">
        <f aca="false">(1+F133*가정!$B$37)*D133</f>
        <v>2686.2887821916</v>
      </c>
      <c r="H133" s="25" t="n">
        <f aca="false">(1+F133*가정!$B$38)*D133^0.6</f>
        <v>467.315247399871</v>
      </c>
      <c r="I133" s="48" t="n">
        <f aca="false">가정!$B$5*가정!$B$7*가정!$B$6^(B133-1)/가정!$B$18</f>
        <v>354054.973957395</v>
      </c>
      <c r="J133" s="48" t="n">
        <f aca="false">(가정!$B$12+가정!$B$15*(LOG(가정!$B$9*가정!$B$7*H133*가정!$B$10^B133/(가정!$B$10-1)*(가정!$B$14-1)/가정!$B$13)/LOG(가정!$B$14)))*G133</f>
        <v>1253247.44671147</v>
      </c>
      <c r="K133" s="49" t="n">
        <f aca="false">IFERROR(J133/I133,0)</f>
        <v>3.53969733203714</v>
      </c>
      <c r="L133" s="25" t="n">
        <f aca="false">A133/가정!$B$39</f>
        <v>44</v>
      </c>
      <c r="M133" s="26" t="str">
        <f aca="false">IF(K133&lt;1,"미달",IF(K133&gt;4,"과잉","적정"))</f>
        <v>적정</v>
      </c>
    </row>
    <row r="134" customFormat="false" ht="15" hidden="false" customHeight="true" outlineLevel="0" collapsed="false">
      <c r="A134" s="23" t="n">
        <v>133</v>
      </c>
      <c r="B134" s="23" t="n">
        <f aca="false">ROUND(가정!$B$32*(A134+1)^가정!$B$33,0)</f>
        <v>141</v>
      </c>
      <c r="C134" s="47" t="n">
        <f aca="false">IF(B134&gt;=IFERROR(INDEX(가정!$B$42:$B$50,C133),1000000),C133+1,C133)</f>
        <v>5</v>
      </c>
      <c r="D134" s="25" t="n">
        <f aca="false">가정!$B$34^(C134-1)</f>
        <v>39.0625</v>
      </c>
      <c r="E134" s="25" t="n">
        <f aca="false">(B134/10)^가정!$B$36</f>
        <v>68.9843505889318</v>
      </c>
      <c r="F134" s="24" t="n">
        <f aca="false">IF(C134&gt;C133,(F133+E134)*가정!$B$35,F133+E134)</f>
        <v>3457.43399179418</v>
      </c>
      <c r="G134" s="25" t="n">
        <f aca="false">(1+F134*가정!$B$37)*D134</f>
        <v>2740.1828060892</v>
      </c>
      <c r="H134" s="25" t="n">
        <f aca="false">(1+F134*가정!$B$38)*D134^0.6</f>
        <v>476.645595784594</v>
      </c>
      <c r="I134" s="48" t="n">
        <f aca="false">가정!$B$5*가정!$B$7*가정!$B$6^(B134-1)/가정!$B$18</f>
        <v>385919.921613561</v>
      </c>
      <c r="J134" s="48" t="n">
        <f aca="false">(가정!$B$12+가정!$B$15*(LOG(가정!$B$9*가정!$B$7*H134*가정!$B$10^B134/(가정!$B$10-1)*(가정!$B$14-1)/가정!$B$13)/LOG(가정!$B$14)))*G134</f>
        <v>1285070.82884638</v>
      </c>
      <c r="K134" s="49" t="n">
        <f aca="false">IFERROR(J134/I134,0)</f>
        <v>3.32988984728595</v>
      </c>
      <c r="L134" s="25" t="n">
        <f aca="false">A134/가정!$B$39</f>
        <v>44.3333333333333</v>
      </c>
      <c r="M134" s="26" t="str">
        <f aca="false">IF(K134&lt;1,"미달",IF(K134&gt;4,"과잉","적정"))</f>
        <v>적정</v>
      </c>
    </row>
    <row r="135" customFormat="false" ht="15" hidden="false" customHeight="true" outlineLevel="0" collapsed="false">
      <c r="A135" s="23" t="n">
        <v>134</v>
      </c>
      <c r="B135" s="23" t="n">
        <f aca="false">ROUND(가정!$B$32*(A135+1)^가정!$B$33,0)</f>
        <v>141</v>
      </c>
      <c r="C135" s="47" t="n">
        <f aca="false">IF(B135&gt;=IFERROR(INDEX(가정!$B$42:$B$50,C134),1000000),C134+1,C134)</f>
        <v>5</v>
      </c>
      <c r="D135" s="25" t="n">
        <f aca="false">가정!$B$34^(C135-1)</f>
        <v>39.0625</v>
      </c>
      <c r="E135" s="25" t="n">
        <f aca="false">(B135/10)^가정!$B$36</f>
        <v>68.9843505889318</v>
      </c>
      <c r="F135" s="24" t="n">
        <f aca="false">IF(C135&gt;C134,(F134+E135)*가정!$B$35,F134+E135)</f>
        <v>3526.41834238311</v>
      </c>
      <c r="G135" s="25" t="n">
        <f aca="false">(1+F135*가정!$B$37)*D135</f>
        <v>2794.0768299868</v>
      </c>
      <c r="H135" s="25" t="n">
        <f aca="false">(1+F135*가정!$B$38)*D135^0.6</f>
        <v>485.975944169318</v>
      </c>
      <c r="I135" s="48" t="n">
        <f aca="false">가정!$B$5*가정!$B$7*가정!$B$6^(B135-1)/가정!$B$18</f>
        <v>385919.921613561</v>
      </c>
      <c r="J135" s="48" t="n">
        <f aca="false">(가정!$B$12+가정!$B$15*(LOG(가정!$B$9*가정!$B$7*H135*가정!$B$10^B135/(가정!$B$10-1)*(가정!$B$14-1)/가정!$B$13)/LOG(가정!$B$14)))*G135</f>
        <v>1311779.50907761</v>
      </c>
      <c r="K135" s="49" t="n">
        <f aca="false">IFERROR(J135/I135,0)</f>
        <v>3.39909767703351</v>
      </c>
      <c r="L135" s="25" t="n">
        <f aca="false">A135/가정!$B$39</f>
        <v>44.6666666666667</v>
      </c>
      <c r="M135" s="26" t="str">
        <f aca="false">IF(K135&lt;1,"미달",IF(K135&gt;4,"과잉","적정"))</f>
        <v>적정</v>
      </c>
    </row>
    <row r="136" customFormat="false" ht="15" hidden="false" customHeight="true" outlineLevel="0" collapsed="false">
      <c r="A136" s="23" t="n">
        <v>135</v>
      </c>
      <c r="B136" s="23" t="n">
        <f aca="false">ROUND(가정!$B$32*(A136+1)^가정!$B$33,0)</f>
        <v>141</v>
      </c>
      <c r="C136" s="47" t="n">
        <f aca="false">IF(B136&gt;=IFERROR(INDEX(가정!$B$42:$B$50,C135),1000000),C135+1,C135)</f>
        <v>5</v>
      </c>
      <c r="D136" s="25" t="n">
        <f aca="false">가정!$B$34^(C136-1)</f>
        <v>39.0625</v>
      </c>
      <c r="E136" s="25" t="n">
        <f aca="false">(B136/10)^가정!$B$36</f>
        <v>68.9843505889318</v>
      </c>
      <c r="F136" s="24" t="n">
        <f aca="false">IF(C136&gt;C135,(F135+E136)*가정!$B$35,F135+E136)</f>
        <v>3595.40269297204</v>
      </c>
      <c r="G136" s="25" t="n">
        <f aca="false">(1+F136*가정!$B$37)*D136</f>
        <v>2847.97085388441</v>
      </c>
      <c r="H136" s="25" t="n">
        <f aca="false">(1+F136*가정!$B$38)*D136^0.6</f>
        <v>495.306292554042</v>
      </c>
      <c r="I136" s="48" t="n">
        <f aca="false">가정!$B$5*가정!$B$7*가정!$B$6^(B136-1)/가정!$B$18</f>
        <v>385919.921613561</v>
      </c>
      <c r="J136" s="48" t="n">
        <f aca="false">(가정!$B$12+가정!$B$15*(LOG(가정!$B$9*가정!$B$7*H136*가정!$B$10^B136/(가정!$B$10-1)*(가정!$B$14-1)/가정!$B$13)/LOG(가정!$B$14)))*G136</f>
        <v>1338515.70889301</v>
      </c>
      <c r="K136" s="49" t="n">
        <f aca="false">IFERROR(J136/I136,0)</f>
        <v>3.46837681583415</v>
      </c>
      <c r="L136" s="25" t="n">
        <f aca="false">A136/가정!$B$39</f>
        <v>45</v>
      </c>
      <c r="M136" s="26" t="str">
        <f aca="false">IF(K136&lt;1,"미달",IF(K136&gt;4,"과잉","적정"))</f>
        <v>적정</v>
      </c>
    </row>
    <row r="137" customFormat="false" ht="15" hidden="false" customHeight="true" outlineLevel="0" collapsed="false">
      <c r="A137" s="23" t="n">
        <v>136</v>
      </c>
      <c r="B137" s="23" t="n">
        <f aca="false">ROUND(가정!$B$32*(A137+1)^가정!$B$33,0)</f>
        <v>142</v>
      </c>
      <c r="C137" s="47" t="n">
        <f aca="false">IF(B137&gt;=IFERROR(INDEX(가정!$B$42:$B$50,C136),1000000),C136+1,C136)</f>
        <v>5</v>
      </c>
      <c r="D137" s="25" t="n">
        <f aca="false">가정!$B$34^(C137-1)</f>
        <v>39.0625</v>
      </c>
      <c r="E137" s="25" t="n">
        <f aca="false">(B137/10)^가정!$B$36</f>
        <v>69.7688156936328</v>
      </c>
      <c r="F137" s="24" t="n">
        <f aca="false">IF(C137&gt;C136,(F136+E137)*가정!$B$35,F136+E137)</f>
        <v>3665.17150866567</v>
      </c>
      <c r="G137" s="25" t="n">
        <f aca="false">(1+F137*가정!$B$37)*D137</f>
        <v>2902.47774114506</v>
      </c>
      <c r="H137" s="25" t="n">
        <f aca="false">(1+F137*가정!$B$38)*D137^0.6</f>
        <v>504.742742288711</v>
      </c>
      <c r="I137" s="48" t="n">
        <f aca="false">가정!$B$5*가정!$B$7*가정!$B$6^(B137-1)/가정!$B$18</f>
        <v>420652.714558781</v>
      </c>
      <c r="J137" s="48" t="n">
        <f aca="false">(가정!$B$12+가정!$B$15*(LOG(가정!$B$9*가정!$B$7*H137*가정!$B$10^B137/(가정!$B$10-1)*(가정!$B$14-1)/가정!$B$13)/LOG(가정!$B$14)))*G137</f>
        <v>1371140.04772628</v>
      </c>
      <c r="K137" s="49" t="n">
        <f aca="false">IFERROR(J137/I137,0)</f>
        <v>3.25955354683603</v>
      </c>
      <c r="L137" s="25" t="n">
        <f aca="false">A137/가정!$B$39</f>
        <v>45.3333333333333</v>
      </c>
      <c r="M137" s="26" t="str">
        <f aca="false">IF(K137&lt;1,"미달",IF(K137&gt;4,"과잉","적정"))</f>
        <v>적정</v>
      </c>
    </row>
    <row r="138" customFormat="false" ht="15" hidden="false" customHeight="true" outlineLevel="0" collapsed="false">
      <c r="A138" s="23" t="n">
        <v>137</v>
      </c>
      <c r="B138" s="23" t="n">
        <f aca="false">ROUND(가정!$B$32*(A138+1)^가정!$B$33,0)</f>
        <v>142</v>
      </c>
      <c r="C138" s="47" t="n">
        <f aca="false">IF(B138&gt;=IFERROR(INDEX(가정!$B$42:$B$50,C137),1000000),C137+1,C137)</f>
        <v>5</v>
      </c>
      <c r="D138" s="25" t="n">
        <f aca="false">가정!$B$34^(C138-1)</f>
        <v>39.0625</v>
      </c>
      <c r="E138" s="25" t="n">
        <f aca="false">(B138/10)^가정!$B$36</f>
        <v>69.7688156936328</v>
      </c>
      <c r="F138" s="24" t="n">
        <f aca="false">IF(C138&gt;C137,(F137+E138)*가정!$B$35,F137+E138)</f>
        <v>3734.94032435931</v>
      </c>
      <c r="G138" s="25" t="n">
        <f aca="false">(1+F138*가정!$B$37)*D138</f>
        <v>2956.98462840571</v>
      </c>
      <c r="H138" s="25" t="n">
        <f aca="false">(1+F138*가정!$B$38)*D138^0.6</f>
        <v>514.179192023379</v>
      </c>
      <c r="I138" s="48" t="n">
        <f aca="false">가정!$B$5*가정!$B$7*가정!$B$6^(B138-1)/가정!$B$18</f>
        <v>420652.714558781</v>
      </c>
      <c r="J138" s="48" t="n">
        <f aca="false">(가정!$B$12+가정!$B$15*(LOG(가정!$B$9*가정!$B$7*H138*가정!$B$10^B138/(가정!$B$10-1)*(가정!$B$14-1)/가정!$B$13)/LOG(가정!$B$14)))*G138</f>
        <v>1398339.18937621</v>
      </c>
      <c r="K138" s="49" t="n">
        <f aca="false">IFERROR(J138/I138,0)</f>
        <v>3.32421292191807</v>
      </c>
      <c r="L138" s="25" t="n">
        <f aca="false">A138/가정!$B$39</f>
        <v>45.6666666666667</v>
      </c>
      <c r="M138" s="26" t="str">
        <f aca="false">IF(K138&lt;1,"미달",IF(K138&gt;4,"과잉","적정"))</f>
        <v>적정</v>
      </c>
    </row>
    <row r="139" customFormat="false" ht="15" hidden="false" customHeight="true" outlineLevel="0" collapsed="false">
      <c r="A139" s="23" t="n">
        <v>138</v>
      </c>
      <c r="B139" s="23" t="n">
        <f aca="false">ROUND(가정!$B$32*(A139+1)^가정!$B$33,0)</f>
        <v>142</v>
      </c>
      <c r="C139" s="47" t="n">
        <f aca="false">IF(B139&gt;=IFERROR(INDEX(가정!$B$42:$B$50,C138),1000000),C138+1,C138)</f>
        <v>5</v>
      </c>
      <c r="D139" s="25" t="n">
        <f aca="false">가정!$B$34^(C139-1)</f>
        <v>39.0625</v>
      </c>
      <c r="E139" s="25" t="n">
        <f aca="false">(B139/10)^가정!$B$36</f>
        <v>69.7688156936328</v>
      </c>
      <c r="F139" s="24" t="n">
        <f aca="false">IF(C139&gt;C138,(F138+E139)*가정!$B$35,F138+E139)</f>
        <v>3804.70914005294</v>
      </c>
      <c r="G139" s="25" t="n">
        <f aca="false">(1+F139*가정!$B$37)*D139</f>
        <v>3011.49151566636</v>
      </c>
      <c r="H139" s="25" t="n">
        <f aca="false">(1+F139*가정!$B$38)*D139^0.6</f>
        <v>523.615641758047</v>
      </c>
      <c r="I139" s="48" t="n">
        <f aca="false">가정!$B$5*가정!$B$7*가정!$B$6^(B139-1)/가정!$B$18</f>
        <v>420652.714558781</v>
      </c>
      <c r="J139" s="48" t="n">
        <f aca="false">(가정!$B$12+가정!$B$15*(LOG(가정!$B$9*가정!$B$7*H139*가정!$B$10^B139/(가정!$B$10-1)*(가정!$B$14-1)/가정!$B$13)/LOG(가정!$B$14)))*G139</f>
        <v>1425564.92917102</v>
      </c>
      <c r="K139" s="49" t="n">
        <f aca="false">IFERROR(J139/I139,0)</f>
        <v>3.38893552765085</v>
      </c>
      <c r="L139" s="25" t="n">
        <f aca="false">A139/가정!$B$39</f>
        <v>46</v>
      </c>
      <c r="M139" s="26" t="str">
        <f aca="false">IF(K139&lt;1,"미달",IF(K139&gt;4,"과잉","적정"))</f>
        <v>적정</v>
      </c>
    </row>
    <row r="140" customFormat="false" ht="15" hidden="false" customHeight="true" outlineLevel="0" collapsed="false">
      <c r="A140" s="23" t="n">
        <v>139</v>
      </c>
      <c r="B140" s="23" t="n">
        <f aca="false">ROUND(가정!$B$32*(A140+1)^가정!$B$33,0)</f>
        <v>142</v>
      </c>
      <c r="C140" s="47" t="n">
        <f aca="false">IF(B140&gt;=IFERROR(INDEX(가정!$B$42:$B$50,C139),1000000),C139+1,C139)</f>
        <v>5</v>
      </c>
      <c r="D140" s="25" t="n">
        <f aca="false">가정!$B$34^(C140-1)</f>
        <v>39.0625</v>
      </c>
      <c r="E140" s="25" t="n">
        <f aca="false">(B140/10)^가정!$B$36</f>
        <v>69.7688156936328</v>
      </c>
      <c r="F140" s="24" t="n">
        <f aca="false">IF(C140&gt;C139,(F139+E140)*가정!$B$35,F139+E140)</f>
        <v>3874.47795574657</v>
      </c>
      <c r="G140" s="25" t="n">
        <f aca="false">(1+F140*가정!$B$37)*D140</f>
        <v>3065.99840292701</v>
      </c>
      <c r="H140" s="25" t="n">
        <f aca="false">(1+F140*가정!$B$38)*D140^0.6</f>
        <v>533.052091492716</v>
      </c>
      <c r="I140" s="48" t="n">
        <f aca="false">가정!$B$5*가정!$B$7*가정!$B$6^(B140-1)/가정!$B$18</f>
        <v>420652.714558781</v>
      </c>
      <c r="J140" s="48" t="n">
        <f aca="false">(가정!$B$12+가정!$B$15*(LOG(가정!$B$9*가정!$B$7*H140*가정!$B$10^B140/(가정!$B$10-1)*(가정!$B$14-1)/가정!$B$13)/LOG(가정!$B$14)))*G140</f>
        <v>1452816.78565896</v>
      </c>
      <c r="K140" s="49" t="n">
        <f aca="false">IFERROR(J140/I140,0)</f>
        <v>3.45372021949938</v>
      </c>
      <c r="L140" s="25" t="n">
        <f aca="false">A140/가정!$B$39</f>
        <v>46.3333333333333</v>
      </c>
      <c r="M140" s="26" t="str">
        <f aca="false">IF(K140&lt;1,"미달",IF(K140&gt;4,"과잉","적정"))</f>
        <v>적정</v>
      </c>
    </row>
    <row r="141" customFormat="false" ht="15" hidden="false" customHeight="true" outlineLevel="0" collapsed="false">
      <c r="A141" s="23" t="n">
        <v>140</v>
      </c>
      <c r="B141" s="23" t="n">
        <f aca="false">ROUND(가정!$B$32*(A141+1)^가정!$B$33,0)</f>
        <v>143</v>
      </c>
      <c r="C141" s="47" t="n">
        <f aca="false">IF(B141&gt;=IFERROR(INDEX(가정!$B$42:$B$50,C140),1000000),C140+1,C140)</f>
        <v>5</v>
      </c>
      <c r="D141" s="25" t="n">
        <f aca="false">가정!$B$34^(C141-1)</f>
        <v>39.0625</v>
      </c>
      <c r="E141" s="25" t="n">
        <f aca="false">(B141/10)^가정!$B$36</f>
        <v>70.5566024715177</v>
      </c>
      <c r="F141" s="24" t="n">
        <f aca="false">IF(C141&gt;C140,(F140+E141)*가정!$B$35,F140+E141)</f>
        <v>3945.03455821809</v>
      </c>
      <c r="G141" s="25" t="n">
        <f aca="false">(1+F141*가정!$B$37)*D141</f>
        <v>3121.12074860788</v>
      </c>
      <c r="H141" s="25" t="n">
        <f aca="false">(1+F141*가정!$B$38)*D141^0.6</f>
        <v>542.595091843977</v>
      </c>
      <c r="I141" s="48" t="n">
        <f aca="false">가정!$B$5*가정!$B$7*가정!$B$6^(B141-1)/가정!$B$18</f>
        <v>458511.458869071</v>
      </c>
      <c r="J141" s="48" t="n">
        <f aca="false">(가정!$B$12+가정!$B$15*(LOG(가정!$B$9*가정!$B$7*H141*가정!$B$10^B141/(가정!$B$10-1)*(가정!$B$14-1)/가정!$B$13)/LOG(가정!$B$14)))*G141</f>
        <v>1486377.666578</v>
      </c>
      <c r="K141" s="49" t="n">
        <f aca="false">IFERROR(J141/I141,0)</f>
        <v>3.24174595383981</v>
      </c>
      <c r="L141" s="25" t="n">
        <f aca="false">A141/가정!$B$39</f>
        <v>46.6666666666667</v>
      </c>
      <c r="M141" s="26" t="str">
        <f aca="false">IF(K141&lt;1,"미달",IF(K141&gt;4,"과잉","적정"))</f>
        <v>적정</v>
      </c>
    </row>
    <row r="142" customFormat="false" ht="15" hidden="false" customHeight="true" outlineLevel="0" collapsed="false">
      <c r="A142" s="23" t="n">
        <v>141</v>
      </c>
      <c r="B142" s="23" t="n">
        <f aca="false">ROUND(가정!$B$32*(A142+1)^가정!$B$33,0)</f>
        <v>143</v>
      </c>
      <c r="C142" s="47" t="n">
        <f aca="false">IF(B142&gt;=IFERROR(INDEX(가정!$B$42:$B$50,C141),1000000),C141+1,C141)</f>
        <v>5</v>
      </c>
      <c r="D142" s="25" t="n">
        <f aca="false">가정!$B$34^(C142-1)</f>
        <v>39.0625</v>
      </c>
      <c r="E142" s="25" t="n">
        <f aca="false">(B142/10)^가정!$B$36</f>
        <v>70.5566024715177</v>
      </c>
      <c r="F142" s="24" t="n">
        <f aca="false">IF(C142&gt;C141,(F141+E142)*가정!$B$35,F141+E142)</f>
        <v>4015.59116068961</v>
      </c>
      <c r="G142" s="25" t="n">
        <f aca="false">(1+F142*가정!$B$37)*D142</f>
        <v>3176.24309428876</v>
      </c>
      <c r="H142" s="25" t="n">
        <f aca="false">(1+F142*가정!$B$38)*D142^0.6</f>
        <v>552.138092195239</v>
      </c>
      <c r="I142" s="48" t="n">
        <f aca="false">가정!$B$5*가정!$B$7*가정!$B$6^(B142-1)/가정!$B$18</f>
        <v>458511.458869071</v>
      </c>
      <c r="J142" s="48" t="n">
        <f aca="false">(가정!$B$12+가정!$B$15*(LOG(가정!$B$9*가정!$B$7*H142*가정!$B$10^B142/(가정!$B$10-1)*(가정!$B$14-1)/가정!$B$13)/LOG(가정!$B$14)))*G142</f>
        <v>1514094.62161059</v>
      </c>
      <c r="K142" s="49" t="n">
        <f aca="false">IFERROR(J142/I142,0)</f>
        <v>3.30219581718881</v>
      </c>
      <c r="L142" s="25" t="n">
        <f aca="false">A142/가정!$B$39</f>
        <v>47</v>
      </c>
      <c r="M142" s="26" t="str">
        <f aca="false">IF(K142&lt;1,"미달",IF(K142&gt;4,"과잉","적정"))</f>
        <v>적정</v>
      </c>
    </row>
    <row r="143" customFormat="false" ht="15" hidden="false" customHeight="true" outlineLevel="0" collapsed="false">
      <c r="A143" s="23" t="n">
        <v>142</v>
      </c>
      <c r="B143" s="23" t="n">
        <f aca="false">ROUND(가정!$B$32*(A143+1)^가정!$B$33,0)</f>
        <v>143</v>
      </c>
      <c r="C143" s="47" t="n">
        <f aca="false">IF(B143&gt;=IFERROR(INDEX(가정!$B$42:$B$50,C142),1000000),C142+1,C142)</f>
        <v>5</v>
      </c>
      <c r="D143" s="25" t="n">
        <f aca="false">가정!$B$34^(C143-1)</f>
        <v>39.0625</v>
      </c>
      <c r="E143" s="25" t="n">
        <f aca="false">(B143/10)^가정!$B$36</f>
        <v>70.5566024715177</v>
      </c>
      <c r="F143" s="24" t="n">
        <f aca="false">IF(C143&gt;C142,(F142+E143)*가정!$B$35,F142+E143)</f>
        <v>4086.14776316112</v>
      </c>
      <c r="G143" s="25" t="n">
        <f aca="false">(1+F143*가정!$B$37)*D143</f>
        <v>3231.36543996963</v>
      </c>
      <c r="H143" s="25" t="n">
        <f aca="false">(1+F143*가정!$B$38)*D143^0.6</f>
        <v>561.681092546501</v>
      </c>
      <c r="I143" s="48" t="n">
        <f aca="false">가정!$B$5*가정!$B$7*가정!$B$6^(B143-1)/가정!$B$18</f>
        <v>458511.458869071</v>
      </c>
      <c r="J143" s="48" t="n">
        <f aca="false">(가정!$B$12+가정!$B$15*(LOG(가정!$B$9*가정!$B$7*H143*가정!$B$10^B143/(가정!$B$10-1)*(가정!$B$14-1)/가정!$B$13)/LOG(가정!$B$14)))*G143</f>
        <v>1541836.90095265</v>
      </c>
      <c r="K143" s="49" t="n">
        <f aca="false">IFERROR(J143/I143,0)</f>
        <v>3.36270091211161</v>
      </c>
      <c r="L143" s="25" t="n">
        <f aca="false">A143/가정!$B$39</f>
        <v>47.3333333333333</v>
      </c>
      <c r="M143" s="26" t="str">
        <f aca="false">IF(K143&lt;1,"미달",IF(K143&gt;4,"과잉","적정"))</f>
        <v>적정</v>
      </c>
    </row>
    <row r="144" customFormat="false" ht="15" hidden="false" customHeight="true" outlineLevel="0" collapsed="false">
      <c r="A144" s="23" t="n">
        <v>143</v>
      </c>
      <c r="B144" s="23" t="n">
        <f aca="false">ROUND(가정!$B$32*(A144+1)^가정!$B$33,0)</f>
        <v>144</v>
      </c>
      <c r="C144" s="47" t="n">
        <f aca="false">IF(B144&gt;=IFERROR(INDEX(가정!$B$42:$B$50,C143),1000000),C143+1,C143)</f>
        <v>5</v>
      </c>
      <c r="D144" s="25" t="n">
        <f aca="false">가정!$B$34^(C144-1)</f>
        <v>39.0625</v>
      </c>
      <c r="E144" s="25" t="n">
        <f aca="false">(B144/10)^가정!$B$36</f>
        <v>71.3477016115206</v>
      </c>
      <c r="F144" s="24" t="n">
        <f aca="false">IF(C144&gt;C143,(F143+E144)*가정!$B$35,F143+E144)</f>
        <v>4157.49546477264</v>
      </c>
      <c r="G144" s="25" t="n">
        <f aca="false">(1+F144*가정!$B$37)*D144</f>
        <v>3287.10583185363</v>
      </c>
      <c r="H144" s="25" t="n">
        <f aca="false">(1+F144*가정!$B$38)*D144^0.6</f>
        <v>571.331091521654</v>
      </c>
      <c r="I144" s="48" t="n">
        <f aca="false">가정!$B$5*가정!$B$7*가정!$B$6^(B144-1)/가정!$B$18</f>
        <v>499777.490167288</v>
      </c>
      <c r="J144" s="48" t="n">
        <f aca="false">(가정!$B$12+가정!$B$15*(LOG(가정!$B$9*가정!$B$7*H144*가정!$B$10^B144/(가정!$B$10-1)*(가정!$B$14-1)/가정!$B$13)/LOG(가정!$B$14)))*G144</f>
        <v>1576208.54127911</v>
      </c>
      <c r="K144" s="49" t="n">
        <f aca="false">IFERROR(J144/I144,0)</f>
        <v>3.1538205947441</v>
      </c>
      <c r="L144" s="25" t="n">
        <f aca="false">A144/가정!$B$39</f>
        <v>47.6666666666667</v>
      </c>
      <c r="M144" s="26" t="str">
        <f aca="false">IF(K144&lt;1,"미달",IF(K144&gt;4,"과잉","적정"))</f>
        <v>적정</v>
      </c>
    </row>
    <row r="145" customFormat="false" ht="15" hidden="false" customHeight="true" outlineLevel="0" collapsed="false">
      <c r="A145" s="23" t="n">
        <v>144</v>
      </c>
      <c r="B145" s="23" t="n">
        <f aca="false">ROUND(가정!$B$32*(A145+1)^가정!$B$33,0)</f>
        <v>144</v>
      </c>
      <c r="C145" s="47" t="n">
        <f aca="false">IF(B145&gt;=IFERROR(INDEX(가정!$B$42:$B$50,C144),1000000),C144+1,C144)</f>
        <v>5</v>
      </c>
      <c r="D145" s="25" t="n">
        <f aca="false">가정!$B$34^(C145-1)</f>
        <v>39.0625</v>
      </c>
      <c r="E145" s="25" t="n">
        <f aca="false">(B145/10)^가정!$B$36</f>
        <v>71.3477016115206</v>
      </c>
      <c r="F145" s="24" t="n">
        <f aca="false">IF(C145&gt;C144,(F144+E145)*가정!$B$35,F144+E145)</f>
        <v>4228.84316638417</v>
      </c>
      <c r="G145" s="25" t="n">
        <f aca="false">(1+F145*가정!$B$37)*D145</f>
        <v>3342.84622373763</v>
      </c>
      <c r="H145" s="25" t="n">
        <f aca="false">(1+F145*가정!$B$38)*D145^0.6</f>
        <v>580.981090496807</v>
      </c>
      <c r="I145" s="48" t="n">
        <f aca="false">가정!$B$5*가정!$B$7*가정!$B$6^(B145-1)/가정!$B$18</f>
        <v>499777.490167288</v>
      </c>
      <c r="J145" s="48" t="n">
        <f aca="false">(가정!$B$12+가정!$B$15*(LOG(가정!$B$9*가정!$B$7*H145*가정!$B$10^B145/(가정!$B$10-1)*(가정!$B$14-1)/가정!$B$13)/LOG(가정!$B$14)))*G145</f>
        <v>1604418.91935836</v>
      </c>
      <c r="K145" s="49" t="n">
        <f aca="false">IFERROR(J145/I145,0)</f>
        <v>3.21026647042731</v>
      </c>
      <c r="L145" s="25" t="n">
        <f aca="false">A145/가정!$B$39</f>
        <v>48</v>
      </c>
      <c r="M145" s="26" t="str">
        <f aca="false">IF(K145&lt;1,"미달",IF(K145&gt;4,"과잉","적정"))</f>
        <v>적정</v>
      </c>
    </row>
    <row r="146" customFormat="false" ht="15" hidden="false" customHeight="true" outlineLevel="0" collapsed="false">
      <c r="A146" s="23" t="n">
        <v>145</v>
      </c>
      <c r="B146" s="23" t="n">
        <f aca="false">ROUND(가정!$B$32*(A146+1)^가정!$B$33,0)</f>
        <v>144</v>
      </c>
      <c r="C146" s="47" t="n">
        <f aca="false">IF(B146&gt;=IFERROR(INDEX(가정!$B$42:$B$50,C145),1000000),C145+1,C145)</f>
        <v>5</v>
      </c>
      <c r="D146" s="25" t="n">
        <f aca="false">가정!$B$34^(C146-1)</f>
        <v>39.0625</v>
      </c>
      <c r="E146" s="25" t="n">
        <f aca="false">(B146/10)^가정!$B$36</f>
        <v>71.3477016115206</v>
      </c>
      <c r="F146" s="24" t="n">
        <f aca="false">IF(C146&gt;C145,(F145+E146)*가정!$B$35,F145+E146)</f>
        <v>4300.19086799569</v>
      </c>
      <c r="G146" s="25" t="n">
        <f aca="false">(1+F146*가정!$B$37)*D146</f>
        <v>3398.58661562163</v>
      </c>
      <c r="H146" s="25" t="n">
        <f aca="false">(1+F146*가정!$B$38)*D146^0.6</f>
        <v>590.631089471961</v>
      </c>
      <c r="I146" s="48" t="n">
        <f aca="false">가정!$B$5*가정!$B$7*가정!$B$6^(B146-1)/가정!$B$18</f>
        <v>499777.490167288</v>
      </c>
      <c r="J146" s="48" t="n">
        <f aca="false">(가정!$B$12+가정!$B$15*(LOG(가정!$B$9*가정!$B$7*H146*가정!$B$10^B146/(가정!$B$10-1)*(가정!$B$14-1)/가정!$B$13)/LOG(가정!$B$14)))*G146</f>
        <v>1632653.90216898</v>
      </c>
      <c r="K146" s="49" t="n">
        <f aca="false">IFERROR(J146/I146,0)</f>
        <v>3.2667615774822</v>
      </c>
      <c r="L146" s="25" t="n">
        <f aca="false">A146/가정!$B$39</f>
        <v>48.3333333333333</v>
      </c>
      <c r="M146" s="26" t="str">
        <f aca="false">IF(K146&lt;1,"미달",IF(K146&gt;4,"과잉","적정"))</f>
        <v>적정</v>
      </c>
    </row>
    <row r="147" customFormat="false" ht="15" hidden="false" customHeight="true" outlineLevel="0" collapsed="false">
      <c r="A147" s="23" t="n">
        <v>146</v>
      </c>
      <c r="B147" s="23" t="n">
        <f aca="false">ROUND(가정!$B$32*(A147+1)^가정!$B$33,0)</f>
        <v>144</v>
      </c>
      <c r="C147" s="47" t="n">
        <f aca="false">IF(B147&gt;=IFERROR(INDEX(가정!$B$42:$B$50,C146),1000000),C146+1,C146)</f>
        <v>5</v>
      </c>
      <c r="D147" s="25" t="n">
        <f aca="false">가정!$B$34^(C147-1)</f>
        <v>39.0625</v>
      </c>
      <c r="E147" s="25" t="n">
        <f aca="false">(B147/10)^가정!$B$36</f>
        <v>71.3477016115206</v>
      </c>
      <c r="F147" s="24" t="n">
        <f aca="false">IF(C147&gt;C146,(F146+E147)*가정!$B$35,F146+E147)</f>
        <v>4371.53856960721</v>
      </c>
      <c r="G147" s="25" t="n">
        <f aca="false">(1+F147*가정!$B$37)*D147</f>
        <v>3454.32700750563</v>
      </c>
      <c r="H147" s="25" t="n">
        <f aca="false">(1+F147*가정!$B$38)*D147^0.6</f>
        <v>600.281088447114</v>
      </c>
      <c r="I147" s="48" t="n">
        <f aca="false">가정!$B$5*가정!$B$7*가정!$B$6^(B147-1)/가정!$B$18</f>
        <v>499777.490167288</v>
      </c>
      <c r="J147" s="48" t="n">
        <f aca="false">(가정!$B$12+가정!$B$15*(LOG(가정!$B$9*가정!$B$7*H147*가정!$B$10^B147/(가정!$B$10-1)*(가정!$B$14-1)/가정!$B$13)/LOG(가정!$B$14)))*G147</f>
        <v>1660913.08614285</v>
      </c>
      <c r="K147" s="49" t="n">
        <f aca="false">IFERROR(J147/I147,0)</f>
        <v>3.32330510841316</v>
      </c>
      <c r="L147" s="25" t="n">
        <f aca="false">A147/가정!$B$39</f>
        <v>48.6666666666667</v>
      </c>
      <c r="M147" s="26" t="str">
        <f aca="false">IF(K147&lt;1,"미달",IF(K147&gt;4,"과잉","적정"))</f>
        <v>적정</v>
      </c>
    </row>
    <row r="148" customFormat="false" ht="15" hidden="false" customHeight="true" outlineLevel="0" collapsed="false">
      <c r="A148" s="23" t="n">
        <v>147</v>
      </c>
      <c r="B148" s="23" t="n">
        <f aca="false">ROUND(가정!$B$32*(A148+1)^가정!$B$33,0)</f>
        <v>145</v>
      </c>
      <c r="C148" s="47" t="n">
        <f aca="false">IF(B148&gt;=IFERROR(INDEX(가정!$B$42:$B$50,C147),1000000),C147+1,C147)</f>
        <v>5</v>
      </c>
      <c r="D148" s="25" t="n">
        <f aca="false">가정!$B$34^(C148-1)</f>
        <v>39.0625</v>
      </c>
      <c r="E148" s="25" t="n">
        <f aca="false">(B148/10)^가정!$B$36</f>
        <v>72.1421038932912</v>
      </c>
      <c r="F148" s="24" t="n">
        <f aca="false">IF(C148&gt;C147,(F147+E148)*가정!$B$35,F147+E148)</f>
        <v>4443.6806735005</v>
      </c>
      <c r="G148" s="25" t="n">
        <f aca="false">(1+F148*가정!$B$37)*D148</f>
        <v>3510.68802617226</v>
      </c>
      <c r="H148" s="25" t="n">
        <f aca="false">(1+F148*가정!$B$38)*D148^0.6</f>
        <v>610.038532806377</v>
      </c>
      <c r="I148" s="48" t="n">
        <f aca="false">가정!$B$5*가정!$B$7*가정!$B$6^(B148-1)/가정!$B$18</f>
        <v>544757.464282344</v>
      </c>
      <c r="J148" s="48" t="n">
        <f aca="false">(가정!$B$12+가정!$B$15*(LOG(가정!$B$9*가정!$B$7*H148*가정!$B$10^B148/(가정!$B$10-1)*(가정!$B$14-1)/가정!$B$13)/LOG(가정!$B$14)))*G148</f>
        <v>1696232.1559933</v>
      </c>
      <c r="K148" s="49" t="n">
        <f aca="false">IFERROR(J148/I148,0)</f>
        <v>3.11373825456048</v>
      </c>
      <c r="L148" s="25" t="n">
        <f aca="false">A148/가정!$B$39</f>
        <v>49</v>
      </c>
      <c r="M148" s="26" t="str">
        <f aca="false">IF(K148&lt;1,"미달",IF(K148&gt;4,"과잉","적정"))</f>
        <v>적정</v>
      </c>
    </row>
    <row r="149" customFormat="false" ht="15" hidden="false" customHeight="true" outlineLevel="0" collapsed="false">
      <c r="A149" s="23" t="n">
        <v>148</v>
      </c>
      <c r="B149" s="23" t="n">
        <f aca="false">ROUND(가정!$B$32*(A149+1)^가정!$B$33,0)</f>
        <v>145</v>
      </c>
      <c r="C149" s="47" t="n">
        <f aca="false">IF(B149&gt;=IFERROR(INDEX(가정!$B$42:$B$50,C148),1000000),C148+1,C148)</f>
        <v>5</v>
      </c>
      <c r="D149" s="25" t="n">
        <f aca="false">가정!$B$34^(C149-1)</f>
        <v>39.0625</v>
      </c>
      <c r="E149" s="25" t="n">
        <f aca="false">(B149/10)^가정!$B$36</f>
        <v>72.1421038932912</v>
      </c>
      <c r="F149" s="24" t="n">
        <f aca="false">IF(C149&gt;C148,(F148+E149)*가정!$B$35,F148+E149)</f>
        <v>4515.82277739379</v>
      </c>
      <c r="G149" s="25" t="n">
        <f aca="false">(1+F149*가정!$B$37)*D149</f>
        <v>3567.0490448389</v>
      </c>
      <c r="H149" s="25" t="n">
        <f aca="false">(1+F149*가정!$B$38)*D149^0.6</f>
        <v>619.795977165639</v>
      </c>
      <c r="I149" s="48" t="n">
        <f aca="false">가정!$B$5*가정!$B$7*가정!$B$6^(B149-1)/가정!$B$18</f>
        <v>544757.464282344</v>
      </c>
      <c r="J149" s="48" t="n">
        <f aca="false">(가정!$B$12+가정!$B$15*(LOG(가정!$B$9*가정!$B$7*H149*가정!$B$10^B149/(가정!$B$10-1)*(가정!$B$14-1)/가정!$B$13)/LOG(가정!$B$14)))*G149</f>
        <v>1724962.04604622</v>
      </c>
      <c r="K149" s="49" t="n">
        <f aca="false">IFERROR(J149/I149,0)</f>
        <v>3.16647711898479</v>
      </c>
      <c r="L149" s="25" t="n">
        <f aca="false">A149/가정!$B$39</f>
        <v>49.3333333333333</v>
      </c>
      <c r="M149" s="26" t="str">
        <f aca="false">IF(K149&lt;1,"미달",IF(K149&gt;4,"과잉","적정"))</f>
        <v>적정</v>
      </c>
    </row>
    <row r="150" customFormat="false" ht="15" hidden="false" customHeight="true" outlineLevel="0" collapsed="false">
      <c r="A150" s="23" t="n">
        <v>149</v>
      </c>
      <c r="B150" s="23" t="n">
        <f aca="false">ROUND(가정!$B$32*(A150+1)^가정!$B$33,0)</f>
        <v>145</v>
      </c>
      <c r="C150" s="47" t="n">
        <f aca="false">IF(B150&gt;=IFERROR(INDEX(가정!$B$42:$B$50,C149),1000000),C149+1,C149)</f>
        <v>5</v>
      </c>
      <c r="D150" s="25" t="n">
        <f aca="false">가정!$B$34^(C150-1)</f>
        <v>39.0625</v>
      </c>
      <c r="E150" s="25" t="n">
        <f aca="false">(B150/10)^가정!$B$36</f>
        <v>72.1421038932912</v>
      </c>
      <c r="F150" s="24" t="n">
        <f aca="false">IF(C150&gt;C149,(F149+E150)*가정!$B$35,F149+E150)</f>
        <v>4587.96488128708</v>
      </c>
      <c r="G150" s="25" t="n">
        <f aca="false">(1+F150*가정!$B$37)*D150</f>
        <v>3623.41006350553</v>
      </c>
      <c r="H150" s="25" t="n">
        <f aca="false">(1+F150*가정!$B$38)*D150^0.6</f>
        <v>629.553421524902</v>
      </c>
      <c r="I150" s="48" t="n">
        <f aca="false">가정!$B$5*가정!$B$7*가정!$B$6^(B150-1)/가정!$B$18</f>
        <v>544757.464282344</v>
      </c>
      <c r="J150" s="48" t="n">
        <f aca="false">(가정!$B$12+가정!$B$15*(LOG(가정!$B$9*가정!$B$7*H150*가정!$B$10^B150/(가정!$B$10-1)*(가정!$B$14-1)/가정!$B$13)/LOG(가정!$B$14)))*G150</f>
        <v>1753715.51058973</v>
      </c>
      <c r="K150" s="49" t="n">
        <f aca="false">IFERROR(J150/I150,0)</f>
        <v>3.21925925861347</v>
      </c>
      <c r="L150" s="25" t="n">
        <f aca="false">A150/가정!$B$39</f>
        <v>49.6666666666667</v>
      </c>
      <c r="M150" s="26" t="str">
        <f aca="false">IF(K150&lt;1,"미달",IF(K150&gt;4,"과잉","적정"))</f>
        <v>적정</v>
      </c>
    </row>
    <row r="151" customFormat="false" ht="15" hidden="false" customHeight="true" outlineLevel="0" collapsed="false">
      <c r="A151" s="27" t="n">
        <v>150</v>
      </c>
      <c r="B151" s="27" t="n">
        <f aca="false">ROUND(가정!$B$32*(A151+1)^가정!$B$33,0)</f>
        <v>145</v>
      </c>
      <c r="C151" s="50" t="n">
        <f aca="false">IF(B151&gt;=IFERROR(INDEX(가정!$B$42:$B$50,C150),1000000),C150+1,C150)</f>
        <v>5</v>
      </c>
      <c r="D151" s="29" t="n">
        <f aca="false">가정!$B$34^(C151-1)</f>
        <v>39.0625</v>
      </c>
      <c r="E151" s="29" t="n">
        <f aca="false">(B151/10)^가정!$B$36</f>
        <v>72.1421038932912</v>
      </c>
      <c r="F151" s="28" t="n">
        <f aca="false">IF(C151&gt;C150,(F150+E151)*가정!$B$35,F150+E151)</f>
        <v>4660.10698518037</v>
      </c>
      <c r="G151" s="29" t="n">
        <f aca="false">(1+F151*가정!$B$37)*D151</f>
        <v>3679.77108217217</v>
      </c>
      <c r="H151" s="29" t="n">
        <f aca="false">(1+F151*가정!$B$38)*D151^0.6</f>
        <v>639.310865884164</v>
      </c>
      <c r="I151" s="51" t="n">
        <f aca="false">가정!$B$5*가정!$B$7*가정!$B$6^(B151-1)/가정!$B$18</f>
        <v>544757.464282344</v>
      </c>
      <c r="J151" s="51" t="n">
        <f aca="false">(가정!$B$12+가정!$B$15*(LOG(가정!$B$9*가정!$B$7*H151*가정!$B$10^B151/(가정!$B$10-1)*(가정!$B$14-1)/가정!$B$13)/LOG(가정!$B$14)))*G151</f>
        <v>1782492.18290959</v>
      </c>
      <c r="K151" s="52" t="n">
        <f aca="false">IFERROR(J151/I151,0)</f>
        <v>3.27208400027676</v>
      </c>
      <c r="L151" s="29" t="n">
        <f aca="false">A151/가정!$B$39</f>
        <v>50</v>
      </c>
      <c r="M151" s="30" t="str">
        <f aca="false">IF(K151&lt;1,"미달",IF(K151&gt;4,"과잉","적정"))</f>
        <v>적정</v>
      </c>
    </row>
    <row r="152" customFormat="false" ht="15" hidden="false" customHeight="true" outlineLevel="0" collapsed="false">
      <c r="A152" s="23" t="n">
        <v>151</v>
      </c>
      <c r="B152" s="23" t="n">
        <f aca="false">ROUND(가정!$B$32*(A152+1)^가정!$B$33,0)</f>
        <v>146</v>
      </c>
      <c r="C152" s="47" t="n">
        <f aca="false">IF(B152&gt;=IFERROR(INDEX(가정!$B$42:$B$50,C151),1000000),C151+1,C151)</f>
        <v>5</v>
      </c>
      <c r="D152" s="25" t="n">
        <f aca="false">가정!$B$34^(C152-1)</f>
        <v>39.0625</v>
      </c>
      <c r="E152" s="25" t="n">
        <f aca="false">(B152/10)^가정!$B$36</f>
        <v>72.9398001856901</v>
      </c>
      <c r="F152" s="24" t="n">
        <f aca="false">IF(C152&gt;C151,(F151+E152)*가정!$B$35,F151+E152)</f>
        <v>4733.04678536606</v>
      </c>
      <c r="G152" s="25" t="n">
        <f aca="false">(1+F152*가정!$B$37)*D152</f>
        <v>3736.75530106723</v>
      </c>
      <c r="H152" s="25" t="n">
        <f aca="false">(1+F152*가정!$B$38)*D152^0.6</f>
        <v>649.176201152738</v>
      </c>
      <c r="I152" s="48" t="n">
        <f aca="false">가정!$B$5*가정!$B$7*가정!$B$6^(B152-1)/가정!$B$18</f>
        <v>593785.636067755</v>
      </c>
      <c r="J152" s="48" t="n">
        <f aca="false">(가정!$B$12+가정!$B$15*(LOG(가정!$B$9*가정!$B$7*H152*가정!$B$10^B152/(가정!$B$10-1)*(가정!$B$14-1)/가정!$B$13)/LOG(가정!$B$14)))*G152</f>
        <v>1818764.10604393</v>
      </c>
      <c r="K152" s="49" t="n">
        <f aca="false">IFERROR(J152/I152,0)</f>
        <v>3.06299781532</v>
      </c>
      <c r="L152" s="25" t="n">
        <f aca="false">A152/가정!$B$39</f>
        <v>50.3333333333333</v>
      </c>
      <c r="M152" s="26" t="str">
        <f aca="false">IF(K152&lt;1,"미달",IF(K152&gt;4,"과잉","적정"))</f>
        <v>적정</v>
      </c>
    </row>
    <row r="153" customFormat="false" ht="15" hidden="false" customHeight="true" outlineLevel="0" collapsed="false">
      <c r="A153" s="23" t="n">
        <v>152</v>
      </c>
      <c r="B153" s="23" t="n">
        <f aca="false">ROUND(가정!$B$32*(A153+1)^가정!$B$33,0)</f>
        <v>146</v>
      </c>
      <c r="C153" s="47" t="n">
        <f aca="false">IF(B153&gt;=IFERROR(INDEX(가정!$B$42:$B$50,C152),1000000),C152+1,C152)</f>
        <v>5</v>
      </c>
      <c r="D153" s="25" t="n">
        <f aca="false">가정!$B$34^(C153-1)</f>
        <v>39.0625</v>
      </c>
      <c r="E153" s="25" t="n">
        <f aca="false">(B153/10)^가정!$B$36</f>
        <v>72.9398001856901</v>
      </c>
      <c r="F153" s="24" t="n">
        <f aca="false">IF(C153&gt;C152,(F152+E153)*가정!$B$35,F152+E153)</f>
        <v>4805.98658555175</v>
      </c>
      <c r="G153" s="25" t="n">
        <f aca="false">(1+F153*가정!$B$37)*D153</f>
        <v>3793.7395199623</v>
      </c>
      <c r="H153" s="25" t="n">
        <f aca="false">(1+F153*가정!$B$38)*D153^0.6</f>
        <v>659.041536421311</v>
      </c>
      <c r="I153" s="48" t="n">
        <f aca="false">가정!$B$5*가정!$B$7*가정!$B$6^(B153-1)/가정!$B$18</f>
        <v>593785.636067755</v>
      </c>
      <c r="J153" s="48" t="n">
        <f aca="false">(가정!$B$12+가정!$B$15*(LOG(가정!$B$9*가정!$B$7*H153*가정!$B$10^B153/(가정!$B$10-1)*(가정!$B$14-1)/가정!$B$13)/LOG(가정!$B$14)))*G153</f>
        <v>1848014.2994455</v>
      </c>
      <c r="K153" s="49" t="n">
        <f aca="false">IFERROR(J153/I153,0)</f>
        <v>3.11225834239383</v>
      </c>
      <c r="L153" s="25" t="n">
        <f aca="false">A153/가정!$B$39</f>
        <v>50.6666666666667</v>
      </c>
      <c r="M153" s="26" t="str">
        <f aca="false">IF(K153&lt;1,"미달",IF(K153&gt;4,"과잉","적정"))</f>
        <v>적정</v>
      </c>
    </row>
    <row r="154" customFormat="false" ht="15" hidden="false" customHeight="true" outlineLevel="0" collapsed="false">
      <c r="A154" s="23" t="n">
        <v>153</v>
      </c>
      <c r="B154" s="23" t="n">
        <f aca="false">ROUND(가정!$B$32*(A154+1)^가정!$B$33,0)</f>
        <v>146</v>
      </c>
      <c r="C154" s="47" t="n">
        <f aca="false">IF(B154&gt;=IFERROR(INDEX(가정!$B$42:$B$50,C153),1000000),C153+1,C153)</f>
        <v>5</v>
      </c>
      <c r="D154" s="25" t="n">
        <f aca="false">가정!$B$34^(C154-1)</f>
        <v>39.0625</v>
      </c>
      <c r="E154" s="25" t="n">
        <f aca="false">(B154/10)^가정!$B$36</f>
        <v>72.9398001856901</v>
      </c>
      <c r="F154" s="24" t="n">
        <f aca="false">IF(C154&gt;C153,(F153+E154)*가정!$B$35,F153+E154)</f>
        <v>4878.92638573744</v>
      </c>
      <c r="G154" s="25" t="n">
        <f aca="false">(1+F154*가정!$B$37)*D154</f>
        <v>3850.72373885738</v>
      </c>
      <c r="H154" s="25" t="n">
        <f aca="false">(1+F154*가정!$B$38)*D154^0.6</f>
        <v>668.906871689885</v>
      </c>
      <c r="I154" s="48" t="n">
        <f aca="false">가정!$B$5*가정!$B$7*가정!$B$6^(B154-1)/가정!$B$18</f>
        <v>593785.636067755</v>
      </c>
      <c r="J154" s="48" t="n">
        <f aca="false">(가정!$B$12+가정!$B$15*(LOG(가정!$B$9*가정!$B$7*H154*가정!$B$10^B154/(가정!$B$10-1)*(가정!$B$14-1)/가정!$B$13)/LOG(가정!$B$14)))*G154</f>
        <v>1877287.15151342</v>
      </c>
      <c r="K154" s="49" t="n">
        <f aca="false">IFERROR(J154/I154,0)</f>
        <v>3.16155702914175</v>
      </c>
      <c r="L154" s="25" t="n">
        <f aca="false">A154/가정!$B$39</f>
        <v>51</v>
      </c>
      <c r="M154" s="26" t="str">
        <f aca="false">IF(K154&lt;1,"미달",IF(K154&gt;4,"과잉","적정"))</f>
        <v>적정</v>
      </c>
    </row>
    <row r="155" customFormat="false" ht="15" hidden="false" customHeight="true" outlineLevel="0" collapsed="false">
      <c r="A155" s="23" t="n">
        <v>154</v>
      </c>
      <c r="B155" s="23" t="n">
        <f aca="false">ROUND(가정!$B$32*(A155+1)^가정!$B$33,0)</f>
        <v>146</v>
      </c>
      <c r="C155" s="47" t="n">
        <f aca="false">IF(B155&gt;=IFERROR(INDEX(가정!$B$42:$B$50,C154),1000000),C154+1,C154)</f>
        <v>5</v>
      </c>
      <c r="D155" s="25" t="n">
        <f aca="false">가정!$B$34^(C155-1)</f>
        <v>39.0625</v>
      </c>
      <c r="E155" s="25" t="n">
        <f aca="false">(B155/10)^가정!$B$36</f>
        <v>72.9398001856901</v>
      </c>
      <c r="F155" s="24" t="n">
        <f aca="false">IF(C155&gt;C154,(F154+E155)*가정!$B$35,F154+E155)</f>
        <v>4951.86618592313</v>
      </c>
      <c r="G155" s="25" t="n">
        <f aca="false">(1+F155*가정!$B$37)*D155</f>
        <v>3907.70795775245</v>
      </c>
      <c r="H155" s="25" t="n">
        <f aca="false">(1+F155*가정!$B$38)*D155^0.6</f>
        <v>678.772206958459</v>
      </c>
      <c r="I155" s="48" t="n">
        <f aca="false">가정!$B$5*가정!$B$7*가정!$B$6^(B155-1)/가정!$B$18</f>
        <v>593785.636067755</v>
      </c>
      <c r="J155" s="48" t="n">
        <f aca="false">(가정!$B$12+가정!$B$15*(LOG(가정!$B$9*가정!$B$7*H155*가정!$B$10^B155/(가정!$B$10-1)*(가정!$B$14-1)/가정!$B$13)/LOG(가정!$B$14)))*G155</f>
        <v>1906582.32692062</v>
      </c>
      <c r="K155" s="49" t="n">
        <f aca="false">IFERROR(J155/I155,0)</f>
        <v>3.21089331083627</v>
      </c>
      <c r="L155" s="25" t="n">
        <f aca="false">A155/가정!$B$39</f>
        <v>51.3333333333333</v>
      </c>
      <c r="M155" s="26" t="str">
        <f aca="false">IF(K155&lt;1,"미달",IF(K155&gt;4,"과잉","적정"))</f>
        <v>적정</v>
      </c>
    </row>
    <row r="156" customFormat="false" ht="15" hidden="false" customHeight="true" outlineLevel="0" collapsed="false">
      <c r="A156" s="23" t="n">
        <v>155</v>
      </c>
      <c r="B156" s="23" t="n">
        <f aca="false">ROUND(가정!$B$32*(A156+1)^가정!$B$33,0)</f>
        <v>147</v>
      </c>
      <c r="C156" s="47" t="n">
        <f aca="false">IF(B156&gt;=IFERROR(INDEX(가정!$B$42:$B$50,C155),1000000),C155+1,C155)</f>
        <v>5</v>
      </c>
      <c r="D156" s="25" t="n">
        <f aca="false">가정!$B$34^(C156-1)</f>
        <v>39.0625</v>
      </c>
      <c r="E156" s="25" t="n">
        <f aca="false">(B156/10)^가정!$B$36</f>
        <v>73.7407814453192</v>
      </c>
      <c r="F156" s="24" t="n">
        <f aca="false">IF(C156&gt;C155,(F155+E156)*가정!$B$35,F155+E156)</f>
        <v>5025.60696736845</v>
      </c>
      <c r="G156" s="25" t="n">
        <f aca="false">(1+F156*가정!$B$37)*D156</f>
        <v>3965.3179432566</v>
      </c>
      <c r="H156" s="25" t="n">
        <f aca="false">(1+F156*가정!$B$38)*D156^0.6</f>
        <v>688.745877438398</v>
      </c>
      <c r="I156" s="48" t="n">
        <f aca="false">가정!$B$5*가정!$B$7*가정!$B$6^(B156-1)/가정!$B$18</f>
        <v>647226.343313853</v>
      </c>
      <c r="J156" s="48" t="n">
        <f aca="false">(가정!$B$12+가정!$B$15*(LOG(가정!$B$9*가정!$B$7*H156*가정!$B$10^B156/(가정!$B$10-1)*(가정!$B$14-1)/가정!$B$13)/LOG(가정!$B$14)))*G156</f>
        <v>1943812.96355457</v>
      </c>
      <c r="K156" s="49" t="n">
        <f aca="false">IFERROR(J156/I156,0)</f>
        <v>3.00329704381636</v>
      </c>
      <c r="L156" s="25" t="n">
        <f aca="false">A156/가정!$B$39</f>
        <v>51.6666666666667</v>
      </c>
      <c r="M156" s="26" t="str">
        <f aca="false">IF(K156&lt;1,"미달",IF(K156&gt;4,"과잉","적정"))</f>
        <v>적정</v>
      </c>
    </row>
    <row r="157" customFormat="false" ht="15" hidden="false" customHeight="true" outlineLevel="0" collapsed="false">
      <c r="A157" s="23" t="n">
        <v>156</v>
      </c>
      <c r="B157" s="23" t="n">
        <f aca="false">ROUND(가정!$B$32*(A157+1)^가정!$B$33,0)</f>
        <v>147</v>
      </c>
      <c r="C157" s="47" t="n">
        <f aca="false">IF(B157&gt;=IFERROR(INDEX(가정!$B$42:$B$50,C156),1000000),C156+1,C156)</f>
        <v>5</v>
      </c>
      <c r="D157" s="25" t="n">
        <f aca="false">가정!$B$34^(C157-1)</f>
        <v>39.0625</v>
      </c>
      <c r="E157" s="25" t="n">
        <f aca="false">(B157/10)^가정!$B$36</f>
        <v>73.7407814453192</v>
      </c>
      <c r="F157" s="24" t="n">
        <f aca="false">IF(C157&gt;C156,(F156+E157)*가정!$B$35,F156+E157)</f>
        <v>5099.34774881377</v>
      </c>
      <c r="G157" s="25" t="n">
        <f aca="false">(1+F157*가정!$B$37)*D157</f>
        <v>4022.92792876076</v>
      </c>
      <c r="H157" s="25" t="n">
        <f aca="false">(1+F157*가정!$B$38)*D157^0.6</f>
        <v>698.719547918337</v>
      </c>
      <c r="I157" s="48" t="n">
        <f aca="false">가정!$B$5*가정!$B$7*가정!$B$6^(B157-1)/가정!$B$18</f>
        <v>647226.343313853</v>
      </c>
      <c r="J157" s="48" t="n">
        <f aca="false">(가정!$B$12+가정!$B$15*(LOG(가정!$B$9*가정!$B$7*H157*가정!$B$10^B157/(가정!$B$10-1)*(가정!$B$14-1)/가정!$B$13)/LOG(가정!$B$14)))*G157</f>
        <v>1973584.64964585</v>
      </c>
      <c r="K157" s="49" t="n">
        <f aca="false">IFERROR(J157/I157,0)</f>
        <v>3.0492959225685</v>
      </c>
      <c r="L157" s="25" t="n">
        <f aca="false">A157/가정!$B$39</f>
        <v>52</v>
      </c>
      <c r="M157" s="26" t="str">
        <f aca="false">IF(K157&lt;1,"미달",IF(K157&gt;4,"과잉","적정"))</f>
        <v>적정</v>
      </c>
    </row>
    <row r="158" customFormat="false" ht="15" hidden="false" customHeight="true" outlineLevel="0" collapsed="false">
      <c r="A158" s="23" t="n">
        <v>157</v>
      </c>
      <c r="B158" s="23" t="n">
        <f aca="false">ROUND(가정!$B$32*(A158+1)^가정!$B$33,0)</f>
        <v>147</v>
      </c>
      <c r="C158" s="47" t="n">
        <f aca="false">IF(B158&gt;=IFERROR(INDEX(가정!$B$42:$B$50,C157),1000000),C157+1,C157)</f>
        <v>5</v>
      </c>
      <c r="D158" s="25" t="n">
        <f aca="false">가정!$B$34^(C158-1)</f>
        <v>39.0625</v>
      </c>
      <c r="E158" s="25" t="n">
        <f aca="false">(B158/10)^가정!$B$36</f>
        <v>73.7407814453192</v>
      </c>
      <c r="F158" s="24" t="n">
        <f aca="false">IF(C158&gt;C157,(F157+E158)*가정!$B$35,F157+E158)</f>
        <v>5173.08853025909</v>
      </c>
      <c r="G158" s="25" t="n">
        <f aca="false">(1+F158*가정!$B$37)*D158</f>
        <v>4080.53791426491</v>
      </c>
      <c r="H158" s="25" t="n">
        <f aca="false">(1+F158*가정!$B$38)*D158^0.6</f>
        <v>708.693218398277</v>
      </c>
      <c r="I158" s="48" t="n">
        <f aca="false">가정!$B$5*가정!$B$7*가정!$B$6^(B158-1)/가정!$B$18</f>
        <v>647226.343313853</v>
      </c>
      <c r="J158" s="48" t="n">
        <f aca="false">(가정!$B$12+가정!$B$15*(LOG(가정!$B$9*가정!$B$7*H158*가정!$B$10^B158/(가정!$B$10-1)*(가정!$B$14-1)/가정!$B$13)/LOG(가정!$B$14)))*G158</f>
        <v>2003378.17535361</v>
      </c>
      <c r="K158" s="49" t="n">
        <f aca="false">IFERROR(J158/I158,0)</f>
        <v>3.09532854471922</v>
      </c>
      <c r="L158" s="25" t="n">
        <f aca="false">A158/가정!$B$39</f>
        <v>52.3333333333333</v>
      </c>
      <c r="M158" s="26" t="str">
        <f aca="false">IF(K158&lt;1,"미달",IF(K158&gt;4,"과잉","적정"))</f>
        <v>적정</v>
      </c>
    </row>
    <row r="159" customFormat="false" ht="15" hidden="false" customHeight="true" outlineLevel="0" collapsed="false">
      <c r="A159" s="23" t="n">
        <v>158</v>
      </c>
      <c r="B159" s="23" t="n">
        <f aca="false">ROUND(가정!$B$32*(A159+1)^가정!$B$33,0)</f>
        <v>147</v>
      </c>
      <c r="C159" s="47" t="n">
        <f aca="false">IF(B159&gt;=IFERROR(INDEX(가정!$B$42:$B$50,C158),1000000),C158+1,C158)</f>
        <v>5</v>
      </c>
      <c r="D159" s="25" t="n">
        <f aca="false">가정!$B$34^(C159-1)</f>
        <v>39.0625</v>
      </c>
      <c r="E159" s="25" t="n">
        <f aca="false">(B159/10)^가정!$B$36</f>
        <v>73.7407814453192</v>
      </c>
      <c r="F159" s="24" t="n">
        <f aca="false">IF(C159&gt;C158,(F158+E159)*가정!$B$35,F158+E159)</f>
        <v>5246.82931170441</v>
      </c>
      <c r="G159" s="25" t="n">
        <f aca="false">(1+F159*가정!$B$37)*D159</f>
        <v>4138.14789976907</v>
      </c>
      <c r="H159" s="25" t="n">
        <f aca="false">(1+F159*가정!$B$38)*D159^0.6</f>
        <v>718.666888878216</v>
      </c>
      <c r="I159" s="48" t="n">
        <f aca="false">가정!$B$5*가정!$B$7*가정!$B$6^(B159-1)/가정!$B$18</f>
        <v>647226.343313853</v>
      </c>
      <c r="J159" s="48" t="n">
        <f aca="false">(가정!$B$12+가정!$B$15*(LOG(가정!$B$9*가정!$B$7*H159*가정!$B$10^B159/(가정!$B$10-1)*(가정!$B$14-1)/가정!$B$13)/LOG(가정!$B$14)))*G159</f>
        <v>2033193.23232666</v>
      </c>
      <c r="K159" s="49" t="n">
        <f aca="false">IFERROR(J159/I159,0)</f>
        <v>3.14139443384913</v>
      </c>
      <c r="L159" s="25" t="n">
        <f aca="false">A159/가정!$B$39</f>
        <v>52.6666666666667</v>
      </c>
      <c r="M159" s="26" t="str">
        <f aca="false">IF(K159&lt;1,"미달",IF(K159&gt;4,"과잉","적정"))</f>
        <v>적정</v>
      </c>
    </row>
    <row r="160" customFormat="false" ht="15" hidden="false" customHeight="true" outlineLevel="0" collapsed="false">
      <c r="A160" s="23" t="n">
        <v>159</v>
      </c>
      <c r="B160" s="23" t="n">
        <f aca="false">ROUND(가정!$B$32*(A160+1)^가정!$B$33,0)</f>
        <v>148</v>
      </c>
      <c r="C160" s="47" t="n">
        <f aca="false">IF(B160&gt;=IFERROR(INDEX(가정!$B$42:$B$50,C159),1000000),C159+1,C159)</f>
        <v>5</v>
      </c>
      <c r="D160" s="25" t="n">
        <f aca="false">가정!$B$34^(C160-1)</f>
        <v>39.0625</v>
      </c>
      <c r="E160" s="25" t="n">
        <f aca="false">(B160/10)^가정!$B$36</f>
        <v>74.5450387150862</v>
      </c>
      <c r="F160" s="24" t="n">
        <f aca="false">IF(C160&gt;C159,(F159+E160)*가정!$B$35,F159+E160)</f>
        <v>5321.37435041949</v>
      </c>
      <c r="G160" s="25" t="n">
        <f aca="false">(1+F160*가정!$B$37)*D160</f>
        <v>4196.38621126523</v>
      </c>
      <c r="H160" s="25" t="n">
        <f aca="false">(1+F160*가정!$B$38)*D160^0.6</f>
        <v>728.749337660101</v>
      </c>
      <c r="I160" s="48" t="n">
        <f aca="false">가정!$B$5*가정!$B$7*가정!$B$6^(B160-1)/가정!$B$18</f>
        <v>705476.714212099</v>
      </c>
      <c r="J160" s="48" t="n">
        <f aca="false">(가정!$B$12+가정!$B$15*(LOG(가정!$B$9*가정!$B$7*H160*가정!$B$10^B160/(가정!$B$10-1)*(가정!$B$14-1)/가정!$B$13)/LOG(가정!$B$14)))*G160</f>
        <v>2071388.81488566</v>
      </c>
      <c r="K160" s="49" t="n">
        <f aca="false">IFERROR(J160/I160,0)</f>
        <v>2.93615476337736</v>
      </c>
      <c r="L160" s="25" t="n">
        <f aca="false">A160/가정!$B$39</f>
        <v>53</v>
      </c>
      <c r="M160" s="26" t="str">
        <f aca="false">IF(K160&lt;1,"미달",IF(K160&gt;4,"과잉","적정"))</f>
        <v>적정</v>
      </c>
    </row>
    <row r="161" customFormat="false" ht="15" hidden="false" customHeight="true" outlineLevel="0" collapsed="false">
      <c r="A161" s="23" t="n">
        <v>160</v>
      </c>
      <c r="B161" s="23" t="n">
        <f aca="false">ROUND(가정!$B$32*(A161+1)^가정!$B$33,0)</f>
        <v>148</v>
      </c>
      <c r="C161" s="47" t="n">
        <f aca="false">IF(B161&gt;=IFERROR(INDEX(가정!$B$42:$B$50,C160),1000000),C160+1,C160)</f>
        <v>5</v>
      </c>
      <c r="D161" s="25" t="n">
        <f aca="false">가정!$B$34^(C161-1)</f>
        <v>39.0625</v>
      </c>
      <c r="E161" s="25" t="n">
        <f aca="false">(B161/10)^가정!$B$36</f>
        <v>74.5450387150862</v>
      </c>
      <c r="F161" s="24" t="n">
        <f aca="false">IF(C161&gt;C160,(F160+E161)*가정!$B$35,F160+E161)</f>
        <v>5395.91938913458</v>
      </c>
      <c r="G161" s="25" t="n">
        <f aca="false">(1+F161*가정!$B$37)*D161</f>
        <v>4254.62452276139</v>
      </c>
      <c r="H161" s="25" t="n">
        <f aca="false">(1+F161*가정!$B$38)*D161^0.6</f>
        <v>738.831786441985</v>
      </c>
      <c r="I161" s="48" t="n">
        <f aca="false">가정!$B$5*가정!$B$7*가정!$B$6^(B161-1)/가정!$B$18</f>
        <v>705476.714212099</v>
      </c>
      <c r="J161" s="48" t="n">
        <f aca="false">(가정!$B$12+가정!$B$15*(LOG(가정!$B$9*가정!$B$7*H161*가정!$B$10^B161/(가정!$B$10-1)*(가정!$B$14-1)/가정!$B$13)/LOG(가정!$B$14)))*G161</f>
        <v>2101683.52049902</v>
      </c>
      <c r="K161" s="49" t="n">
        <f aca="false">IFERROR(J161/I161,0)</f>
        <v>2.979096939927</v>
      </c>
      <c r="L161" s="25" t="n">
        <f aca="false">A161/가정!$B$39</f>
        <v>53.3333333333333</v>
      </c>
      <c r="M161" s="26" t="str">
        <f aca="false">IF(K161&lt;1,"미달",IF(K161&gt;4,"과잉","적정"))</f>
        <v>적정</v>
      </c>
    </row>
    <row r="162" customFormat="false" ht="15" hidden="false" customHeight="true" outlineLevel="0" collapsed="false">
      <c r="A162" s="23" t="n">
        <v>161</v>
      </c>
      <c r="B162" s="23" t="n">
        <f aca="false">ROUND(가정!$B$32*(A162+1)^가정!$B$33,0)</f>
        <v>148</v>
      </c>
      <c r="C162" s="47" t="n">
        <f aca="false">IF(B162&gt;=IFERROR(INDEX(가정!$B$42:$B$50,C161),1000000),C161+1,C161)</f>
        <v>5</v>
      </c>
      <c r="D162" s="25" t="n">
        <f aca="false">가정!$B$34^(C162-1)</f>
        <v>39.0625</v>
      </c>
      <c r="E162" s="25" t="n">
        <f aca="false">(B162/10)^가정!$B$36</f>
        <v>74.5450387150862</v>
      </c>
      <c r="F162" s="24" t="n">
        <f aca="false">IF(C162&gt;C161,(F161+E162)*가정!$B$35,F161+E162)</f>
        <v>5470.46442784966</v>
      </c>
      <c r="G162" s="25" t="n">
        <f aca="false">(1+F162*가정!$B$37)*D162</f>
        <v>4312.86283425755</v>
      </c>
      <c r="H162" s="25" t="n">
        <f aca="false">(1+F162*가정!$B$38)*D162^0.6</f>
        <v>748.91423522387</v>
      </c>
      <c r="I162" s="48" t="n">
        <f aca="false">가정!$B$5*가정!$B$7*가정!$B$6^(B162-1)/가정!$B$18</f>
        <v>705476.714212099</v>
      </c>
      <c r="J162" s="48" t="n">
        <f aca="false">(가정!$B$12+가정!$B$15*(LOG(가정!$B$9*가정!$B$7*H162*가정!$B$10^B162/(가정!$B$10-1)*(가정!$B$14-1)/가정!$B$13)/LOG(가정!$B$14)))*G162</f>
        <v>2131999.32925988</v>
      </c>
      <c r="K162" s="49" t="n">
        <f aca="false">IFERROR(J162/I162,0)</f>
        <v>3.02206902979211</v>
      </c>
      <c r="L162" s="25" t="n">
        <f aca="false">A162/가정!$B$39</f>
        <v>53.6666666666667</v>
      </c>
      <c r="M162" s="26" t="str">
        <f aca="false">IF(K162&lt;1,"미달",IF(K162&gt;4,"과잉","적정"))</f>
        <v>적정</v>
      </c>
    </row>
    <row r="163" customFormat="false" ht="15" hidden="false" customHeight="true" outlineLevel="0" collapsed="false">
      <c r="A163" s="23" t="n">
        <v>162</v>
      </c>
      <c r="B163" s="23" t="n">
        <f aca="false">ROUND(가정!$B$32*(A163+1)^가정!$B$33,0)</f>
        <v>148</v>
      </c>
      <c r="C163" s="47" t="n">
        <f aca="false">IF(B163&gt;=IFERROR(INDEX(가정!$B$42:$B$50,C162),1000000),C162+1,C162)</f>
        <v>5</v>
      </c>
      <c r="D163" s="25" t="n">
        <f aca="false">가정!$B$34^(C163-1)</f>
        <v>39.0625</v>
      </c>
      <c r="E163" s="25" t="n">
        <f aca="false">(B163/10)^가정!$B$36</f>
        <v>74.5450387150862</v>
      </c>
      <c r="F163" s="24" t="n">
        <f aca="false">IF(C163&gt;C162,(F162+E163)*가정!$B$35,F162+E163)</f>
        <v>5545.00946656475</v>
      </c>
      <c r="G163" s="25" t="n">
        <f aca="false">(1+F163*가정!$B$37)*D163</f>
        <v>4371.10114575371</v>
      </c>
      <c r="H163" s="25" t="n">
        <f aca="false">(1+F163*가정!$B$38)*D163^0.6</f>
        <v>758.996684005755</v>
      </c>
      <c r="I163" s="48" t="n">
        <f aca="false">가정!$B$5*가정!$B$7*가정!$B$6^(B163-1)/가정!$B$18</f>
        <v>705476.714212099</v>
      </c>
      <c r="J163" s="48" t="n">
        <f aca="false">(가정!$B$12+가정!$B$15*(LOG(가정!$B$9*가정!$B$7*H163*가정!$B$10^B163/(가정!$B$10-1)*(가정!$B$14-1)/가정!$B$13)/LOG(가정!$B$14)))*G163</f>
        <v>2162335.95619176</v>
      </c>
      <c r="K163" s="49" t="n">
        <f aca="false">IFERROR(J163/I163,0)</f>
        <v>3.06507062902385</v>
      </c>
      <c r="L163" s="25" t="n">
        <f aca="false">A163/가정!$B$39</f>
        <v>54</v>
      </c>
      <c r="M163" s="26" t="str">
        <f aca="false">IF(K163&lt;1,"미달",IF(K163&gt;4,"과잉","적정"))</f>
        <v>적정</v>
      </c>
    </row>
    <row r="164" customFormat="false" ht="15" hidden="false" customHeight="true" outlineLevel="0" collapsed="false">
      <c r="A164" s="23" t="n">
        <v>163</v>
      </c>
      <c r="B164" s="23" t="n">
        <f aca="false">ROUND(가정!$B$32*(A164+1)^가정!$B$33,0)</f>
        <v>149</v>
      </c>
      <c r="C164" s="47" t="n">
        <f aca="false">IF(B164&gt;=IFERROR(INDEX(가정!$B$42:$B$50,C163),1000000),C163+1,C163)</f>
        <v>5</v>
      </c>
      <c r="D164" s="25" t="n">
        <f aca="false">가정!$B$34^(C164-1)</f>
        <v>39.0625</v>
      </c>
      <c r="E164" s="25" t="n">
        <f aca="false">(B164/10)^가정!$B$36</f>
        <v>75.3525631228021</v>
      </c>
      <c r="F164" s="24" t="n">
        <f aca="false">IF(C164&gt;C163,(F163+E164)*가정!$B$35,F163+E164)</f>
        <v>5620.36202968755</v>
      </c>
      <c r="G164" s="25" t="n">
        <f aca="false">(1+F164*가정!$B$37)*D164</f>
        <v>4429.9703356934</v>
      </c>
      <c r="H164" s="25" t="n">
        <f aca="false">(1+F164*가정!$B$38)*D164^0.6</f>
        <v>769.188352980174</v>
      </c>
      <c r="I164" s="48" t="n">
        <f aca="false">가정!$B$5*가정!$B$7*가정!$B$6^(B164-1)/가정!$B$18</f>
        <v>768969.618491188</v>
      </c>
      <c r="J164" s="48" t="n">
        <f aca="false">(가정!$B$12+가정!$B$15*(LOG(가정!$B$9*가정!$B$7*H164*가정!$B$10^B164/(가정!$B$10-1)*(가정!$B$14-1)/가정!$B$13)/LOG(가정!$B$14)))*G164</f>
        <v>2201503.03775793</v>
      </c>
      <c r="K164" s="49" t="n">
        <f aca="false">IFERROR(J164/I164,0)</f>
        <v>2.8629259008666</v>
      </c>
      <c r="L164" s="25" t="n">
        <f aca="false">A164/가정!$B$39</f>
        <v>54.3333333333333</v>
      </c>
      <c r="M164" s="26" t="str">
        <f aca="false">IF(K164&lt;1,"미달",IF(K164&gt;4,"과잉","적정"))</f>
        <v>적정</v>
      </c>
    </row>
    <row r="165" customFormat="false" ht="15" hidden="false" customHeight="true" outlineLevel="0" collapsed="false">
      <c r="A165" s="23" t="n">
        <v>164</v>
      </c>
      <c r="B165" s="23" t="n">
        <f aca="false">ROUND(가정!$B$32*(A165+1)^가정!$B$33,0)</f>
        <v>149</v>
      </c>
      <c r="C165" s="47" t="n">
        <f aca="false">IF(B165&gt;=IFERROR(INDEX(가정!$B$42:$B$50,C164),1000000),C164+1,C164)</f>
        <v>5</v>
      </c>
      <c r="D165" s="25" t="n">
        <f aca="false">가정!$B$34^(C165-1)</f>
        <v>39.0625</v>
      </c>
      <c r="E165" s="25" t="n">
        <f aca="false">(B165/10)^가정!$B$36</f>
        <v>75.3525631228021</v>
      </c>
      <c r="F165" s="24" t="n">
        <f aca="false">IF(C165&gt;C164,(F164+E165)*가정!$B$35,F164+E165)</f>
        <v>5695.71459281035</v>
      </c>
      <c r="G165" s="25" t="n">
        <f aca="false">(1+F165*가정!$B$37)*D165</f>
        <v>4488.83952563309</v>
      </c>
      <c r="H165" s="25" t="n">
        <f aca="false">(1+F165*가정!$B$38)*D165^0.6</f>
        <v>779.380021954593</v>
      </c>
      <c r="I165" s="48" t="n">
        <f aca="false">가정!$B$5*가정!$B$7*가정!$B$6^(B165-1)/가정!$B$18</f>
        <v>768969.618491188</v>
      </c>
      <c r="J165" s="48" t="n">
        <f aca="false">(가정!$B$12+가정!$B$15*(LOG(가정!$B$9*가정!$B$7*H165*가정!$B$10^B165/(가정!$B$10-1)*(가정!$B$14-1)/가정!$B$13)/LOG(가정!$B$14)))*G165</f>
        <v>2232322.57855856</v>
      </c>
      <c r="K165" s="49" t="n">
        <f aca="false">IFERROR(J165/I165,0)</f>
        <v>2.90300491056936</v>
      </c>
      <c r="L165" s="25" t="n">
        <f aca="false">A165/가정!$B$39</f>
        <v>54.6666666666667</v>
      </c>
      <c r="M165" s="26" t="str">
        <f aca="false">IF(K165&lt;1,"미달",IF(K165&gt;4,"과잉","적정"))</f>
        <v>적정</v>
      </c>
    </row>
    <row r="166" customFormat="false" ht="15" hidden="false" customHeight="true" outlineLevel="0" collapsed="false">
      <c r="A166" s="23" t="n">
        <v>165</v>
      </c>
      <c r="B166" s="23" t="n">
        <f aca="false">ROUND(가정!$B$32*(A166+1)^가정!$B$33,0)</f>
        <v>149</v>
      </c>
      <c r="C166" s="47" t="n">
        <f aca="false">IF(B166&gt;=IFERROR(INDEX(가정!$B$42:$B$50,C165),1000000),C165+1,C165)</f>
        <v>5</v>
      </c>
      <c r="D166" s="25" t="n">
        <f aca="false">가정!$B$34^(C166-1)</f>
        <v>39.0625</v>
      </c>
      <c r="E166" s="25" t="n">
        <f aca="false">(B166/10)^가정!$B$36</f>
        <v>75.3525631228021</v>
      </c>
      <c r="F166" s="24" t="n">
        <f aca="false">IF(C166&gt;C165,(F165+E166)*가정!$B$35,F165+E166)</f>
        <v>5771.06715593316</v>
      </c>
      <c r="G166" s="25" t="n">
        <f aca="false">(1+F166*가정!$B$37)*D166</f>
        <v>4547.70871557278</v>
      </c>
      <c r="H166" s="25" t="n">
        <f aca="false">(1+F166*가정!$B$38)*D166^0.6</f>
        <v>789.571690929011</v>
      </c>
      <c r="I166" s="48" t="n">
        <f aca="false">가정!$B$5*가정!$B$7*가정!$B$6^(B166-1)/가정!$B$18</f>
        <v>768969.618491188</v>
      </c>
      <c r="J166" s="48" t="n">
        <f aca="false">(가정!$B$12+가정!$B$15*(LOG(가정!$B$9*가정!$B$7*H166*가정!$B$10^B166/(가정!$B$10-1)*(가정!$B$14-1)/가정!$B$13)/LOG(가정!$B$14)))*G166</f>
        <v>2263162.5570705</v>
      </c>
      <c r="K166" s="49" t="n">
        <f aca="false">IFERROR(J166/I166,0)</f>
        <v>2.94311049831994</v>
      </c>
      <c r="L166" s="25" t="n">
        <f aca="false">A166/가정!$B$39</f>
        <v>55</v>
      </c>
      <c r="M166" s="26" t="str">
        <f aca="false">IF(K166&lt;1,"미달",IF(K166&gt;4,"과잉","적정"))</f>
        <v>적정</v>
      </c>
    </row>
    <row r="167" customFormat="false" ht="15" hidden="false" customHeight="true" outlineLevel="0" collapsed="false">
      <c r="A167" s="23" t="n">
        <v>166</v>
      </c>
      <c r="B167" s="23" t="n">
        <f aca="false">ROUND(가정!$B$32*(A167+1)^가정!$B$33,0)</f>
        <v>149</v>
      </c>
      <c r="C167" s="47" t="n">
        <f aca="false">IF(B167&gt;=IFERROR(INDEX(가정!$B$42:$B$50,C166),1000000),C166+1,C166)</f>
        <v>5</v>
      </c>
      <c r="D167" s="25" t="n">
        <f aca="false">가정!$B$34^(C167-1)</f>
        <v>39.0625</v>
      </c>
      <c r="E167" s="25" t="n">
        <f aca="false">(B167/10)^가정!$B$36</f>
        <v>75.3525631228021</v>
      </c>
      <c r="F167" s="24" t="n">
        <f aca="false">IF(C167&gt;C166,(F166+E167)*가정!$B$35,F166+E167)</f>
        <v>5846.41971905596</v>
      </c>
      <c r="G167" s="25" t="n">
        <f aca="false">(1+F167*가정!$B$37)*D167</f>
        <v>4606.57790551247</v>
      </c>
      <c r="H167" s="25" t="n">
        <f aca="false">(1+F167*가정!$B$38)*D167^0.6</f>
        <v>799.76335990343</v>
      </c>
      <c r="I167" s="48" t="n">
        <f aca="false">가정!$B$5*가정!$B$7*가정!$B$6^(B167-1)/가정!$B$18</f>
        <v>768969.618491188</v>
      </c>
      <c r="J167" s="48" t="n">
        <f aca="false">(가정!$B$12+가정!$B$15*(LOG(가정!$B$9*가정!$B$7*H167*가정!$B$10^B167/(가정!$B$10-1)*(가정!$B$14-1)/가정!$B$13)/LOG(가정!$B$14)))*G167</f>
        <v>2294022.70872106</v>
      </c>
      <c r="K167" s="49" t="n">
        <f aca="false">IFERROR(J167/I167,0)</f>
        <v>2.98324232005708</v>
      </c>
      <c r="L167" s="25" t="n">
        <f aca="false">A167/가정!$B$39</f>
        <v>55.3333333333333</v>
      </c>
      <c r="M167" s="26" t="str">
        <f aca="false">IF(K167&lt;1,"미달",IF(K167&gt;4,"과잉","적정"))</f>
        <v>적정</v>
      </c>
    </row>
    <row r="168" customFormat="false" ht="15" hidden="false" customHeight="true" outlineLevel="0" collapsed="false">
      <c r="A168" s="23" t="n">
        <v>167</v>
      </c>
      <c r="B168" s="23" t="n">
        <f aca="false">ROUND(가정!$B$32*(A168+1)^가정!$B$33,0)</f>
        <v>150</v>
      </c>
      <c r="C168" s="47" t="n">
        <f aca="false">IF(B168&gt;=IFERROR(INDEX(가정!$B$42:$B$50,C167),1000000),C167+1,C167)</f>
        <v>6</v>
      </c>
      <c r="D168" s="25" t="n">
        <f aca="false">가정!$B$34^(C168-1)</f>
        <v>97.65625</v>
      </c>
      <c r="E168" s="25" t="n">
        <f aca="false">(B168/10)^가정!$B$36</f>
        <v>76.1633458798111</v>
      </c>
      <c r="F168" s="24" t="n">
        <f aca="false">IF(C168&gt;C167,(F167+E168)*가정!$B$35,F167+E168)</f>
        <v>888.387459740365</v>
      </c>
      <c r="G168" s="25" t="n">
        <f aca="false">(1+F168*가정!$B$37)*D168</f>
        <v>1832.7880073054</v>
      </c>
      <c r="H168" s="25" t="n">
        <f aca="false">(1+F168*가정!$B$38)*D168^0.6</f>
        <v>223.840810876648</v>
      </c>
      <c r="I168" s="48" t="n">
        <f aca="false">가정!$B$5*가정!$B$7*가정!$B$6^(B168-1)/가정!$B$18</f>
        <v>838176.884155396</v>
      </c>
      <c r="J168" s="48" t="n">
        <f aca="false">(가정!$B$12+가정!$B$15*(LOG(가정!$B$9*가정!$B$7*H168*가정!$B$10^B168/(가정!$B$10-1)*(가정!$B$14-1)/가정!$B$13)/LOG(가정!$B$14)))*G168</f>
        <v>854435.513766095</v>
      </c>
      <c r="K168" s="49" t="n">
        <f aca="false">IFERROR(J168/I168,0)</f>
        <v>1.01939761155199</v>
      </c>
      <c r="L168" s="25" t="n">
        <f aca="false">A168/가정!$B$39</f>
        <v>55.6666666666667</v>
      </c>
      <c r="M168" s="26" t="str">
        <f aca="false">IF(K168&lt;1,"미달",IF(K168&gt;4,"과잉","적정"))</f>
        <v>적정</v>
      </c>
    </row>
    <row r="169" customFormat="false" ht="15" hidden="false" customHeight="true" outlineLevel="0" collapsed="false">
      <c r="A169" s="23" t="n">
        <v>168</v>
      </c>
      <c r="B169" s="23" t="n">
        <f aca="false">ROUND(가정!$B$32*(A169+1)^가정!$B$33,0)</f>
        <v>150</v>
      </c>
      <c r="C169" s="47" t="n">
        <f aca="false">IF(B169&gt;=IFERROR(INDEX(가정!$B$42:$B$50,C168),1000000),C168+1,C168)</f>
        <v>6</v>
      </c>
      <c r="D169" s="25" t="n">
        <f aca="false">가정!$B$34^(C169-1)</f>
        <v>97.65625</v>
      </c>
      <c r="E169" s="25" t="n">
        <f aca="false">(B169/10)^가정!$B$36</f>
        <v>76.1633458798111</v>
      </c>
      <c r="F169" s="24" t="n">
        <f aca="false">IF(C169&gt;C168,(F168+E169)*가정!$B$35,F168+E169)</f>
        <v>964.550805620177</v>
      </c>
      <c r="G169" s="25" t="n">
        <f aca="false">(1+F169*가정!$B$37)*D169</f>
        <v>1981.54454222691</v>
      </c>
      <c r="H169" s="25" t="n">
        <f aca="false">(1+F169*가정!$B$38)*D169^0.6</f>
        <v>241.691595067229</v>
      </c>
      <c r="I169" s="48" t="n">
        <f aca="false">가정!$B$5*가정!$B$7*가정!$B$6^(B169-1)/가정!$B$18</f>
        <v>838176.884155396</v>
      </c>
      <c r="J169" s="48" t="n">
        <f aca="false">(가정!$B$12+가정!$B$15*(LOG(가정!$B$9*가정!$B$7*H169*가정!$B$10^B169/(가정!$B$10-1)*(가정!$B$14-1)/가정!$B$13)/LOG(가정!$B$14)))*G169</f>
        <v>927809.697400561</v>
      </c>
      <c r="K169" s="49" t="n">
        <f aca="false">IFERROR(J169/I169,0)</f>
        <v>1.10693782534397</v>
      </c>
      <c r="L169" s="25" t="n">
        <f aca="false">A169/가정!$B$39</f>
        <v>56</v>
      </c>
      <c r="M169" s="26" t="str">
        <f aca="false">IF(K169&lt;1,"미달",IF(K169&gt;4,"과잉","적정"))</f>
        <v>적정</v>
      </c>
    </row>
    <row r="170" customFormat="false" ht="15" hidden="false" customHeight="true" outlineLevel="0" collapsed="false">
      <c r="A170" s="23" t="n">
        <v>169</v>
      </c>
      <c r="B170" s="23" t="n">
        <f aca="false">ROUND(가정!$B$32*(A170+1)^가정!$B$33,0)</f>
        <v>150</v>
      </c>
      <c r="C170" s="47" t="n">
        <f aca="false">IF(B170&gt;=IFERROR(INDEX(가정!$B$42:$B$50,C169),1000000),C169+1,C169)</f>
        <v>6</v>
      </c>
      <c r="D170" s="25" t="n">
        <f aca="false">가정!$B$34^(C170-1)</f>
        <v>97.65625</v>
      </c>
      <c r="E170" s="25" t="n">
        <f aca="false">(B170/10)^가정!$B$36</f>
        <v>76.1633458798111</v>
      </c>
      <c r="F170" s="24" t="n">
        <f aca="false">IF(C170&gt;C169,(F169+E170)*가정!$B$35,F169+E170)</f>
        <v>1040.71415149999</v>
      </c>
      <c r="G170" s="25" t="n">
        <f aca="false">(1+F170*가정!$B$37)*D170</f>
        <v>2130.30107714841</v>
      </c>
      <c r="H170" s="25" t="n">
        <f aca="false">(1+F170*가정!$B$38)*D170^0.6</f>
        <v>259.54237925781</v>
      </c>
      <c r="I170" s="48" t="n">
        <f aca="false">가정!$B$5*가정!$B$7*가정!$B$6^(B170-1)/가정!$B$18</f>
        <v>838176.884155396</v>
      </c>
      <c r="J170" s="48" t="n">
        <f aca="false">(가정!$B$12+가정!$B$15*(LOG(가정!$B$9*가정!$B$7*H170*가정!$B$10^B170/(가정!$B$10-1)*(가정!$B$14-1)/가정!$B$13)/LOG(가정!$B$14)))*G170</f>
        <v>1001479.69886279</v>
      </c>
      <c r="K170" s="49" t="n">
        <f aca="false">IFERROR(J170/I170,0)</f>
        <v>1.19483096920759</v>
      </c>
      <c r="L170" s="25" t="n">
        <f aca="false">A170/가정!$B$39</f>
        <v>56.3333333333333</v>
      </c>
      <c r="M170" s="26" t="str">
        <f aca="false">IF(K170&lt;1,"미달",IF(K170&gt;4,"과잉","적정"))</f>
        <v>적정</v>
      </c>
    </row>
    <row r="171" customFormat="false" ht="15" hidden="false" customHeight="true" outlineLevel="0" collapsed="false">
      <c r="A171" s="23" t="n">
        <v>170</v>
      </c>
      <c r="B171" s="23" t="n">
        <f aca="false">ROUND(가정!$B$32*(A171+1)^가정!$B$33,0)</f>
        <v>150</v>
      </c>
      <c r="C171" s="47" t="n">
        <f aca="false">IF(B171&gt;=IFERROR(INDEX(가정!$B$42:$B$50,C170),1000000),C170+1,C170)</f>
        <v>6</v>
      </c>
      <c r="D171" s="25" t="n">
        <f aca="false">가정!$B$34^(C171-1)</f>
        <v>97.65625</v>
      </c>
      <c r="E171" s="25" t="n">
        <f aca="false">(B171/10)^가정!$B$36</f>
        <v>76.1633458798111</v>
      </c>
      <c r="F171" s="24" t="n">
        <f aca="false">IF(C171&gt;C170,(F170+E171)*가정!$B$35,F170+E171)</f>
        <v>1116.8774973798</v>
      </c>
      <c r="G171" s="25" t="n">
        <f aca="false">(1+F171*가정!$B$37)*D171</f>
        <v>2279.05761206992</v>
      </c>
      <c r="H171" s="25" t="n">
        <f aca="false">(1+F171*가정!$B$38)*D171^0.6</f>
        <v>277.39316344839</v>
      </c>
      <c r="I171" s="48" t="n">
        <f aca="false">가정!$B$5*가정!$B$7*가정!$B$6^(B171-1)/가정!$B$18</f>
        <v>838176.884155396</v>
      </c>
      <c r="J171" s="48" t="n">
        <f aca="false">(가정!$B$12+가정!$B$15*(LOG(가정!$B$9*가정!$B$7*H171*가정!$B$10^B171/(가정!$B$10-1)*(가정!$B$14-1)/가정!$B$13)/LOG(가정!$B$14)))*G171</f>
        <v>1075424.83620737</v>
      </c>
      <c r="K171" s="49" t="n">
        <f aca="false">IFERROR(J171/I171,0)</f>
        <v>1.2830523682254</v>
      </c>
      <c r="L171" s="25" t="n">
        <f aca="false">A171/가정!$B$39</f>
        <v>56.6666666666667</v>
      </c>
      <c r="M171" s="26" t="str">
        <f aca="false">IF(K171&lt;1,"미달",IF(K171&gt;4,"과잉","적정"))</f>
        <v>적정</v>
      </c>
    </row>
    <row r="172" customFormat="false" ht="15" hidden="false" customHeight="true" outlineLevel="0" collapsed="false">
      <c r="A172" s="23" t="n">
        <v>171</v>
      </c>
      <c r="B172" s="23" t="n">
        <f aca="false">ROUND(가정!$B$32*(A172+1)^가정!$B$33,0)</f>
        <v>151</v>
      </c>
      <c r="C172" s="47" t="n">
        <f aca="false">IF(B172&gt;=IFERROR(INDEX(가정!$B$42:$B$50,C171),1000000),C171+1,C171)</f>
        <v>6</v>
      </c>
      <c r="D172" s="25" t="n">
        <f aca="false">가정!$B$34^(C172-1)</f>
        <v>97.65625</v>
      </c>
      <c r="E172" s="25" t="n">
        <f aca="false">(B172/10)^가정!$B$36</f>
        <v>76.9773782796511</v>
      </c>
      <c r="F172" s="24" t="n">
        <f aca="false">IF(C172&gt;C171,(F171+E172)*가정!$B$35,F171+E172)</f>
        <v>1193.85487565945</v>
      </c>
      <c r="G172" s="25" t="n">
        <f aca="false">(1+F172*가정!$B$37)*D172</f>
        <v>2429.40405402236</v>
      </c>
      <c r="H172" s="25" t="n">
        <f aca="false">(1+F172*가정!$B$38)*D172^0.6</f>
        <v>295.434736482684</v>
      </c>
      <c r="I172" s="48" t="n">
        <f aca="false">가정!$B$5*가정!$B$7*가정!$B$6^(B172-1)/가정!$B$18</f>
        <v>913612.803729381</v>
      </c>
      <c r="J172" s="48" t="n">
        <f aca="false">(가정!$B$12+가정!$B$15*(LOG(가정!$B$9*가정!$B$7*H172*가정!$B$10^B172/(가정!$B$10-1)*(가정!$B$14-1)/가정!$B$13)/LOG(가정!$B$14)))*G172</f>
        <v>1155072.50477767</v>
      </c>
      <c r="K172" s="49" t="n">
        <f aca="false">IFERROR(J172/I172,0)</f>
        <v>1.26429106516748</v>
      </c>
      <c r="L172" s="25" t="n">
        <f aca="false">A172/가정!$B$39</f>
        <v>57</v>
      </c>
      <c r="M172" s="26" t="str">
        <f aca="false">IF(K172&lt;1,"미달",IF(K172&gt;4,"과잉","적정"))</f>
        <v>적정</v>
      </c>
    </row>
    <row r="173" customFormat="false" ht="15" hidden="false" customHeight="true" outlineLevel="0" collapsed="false">
      <c r="A173" s="23" t="n">
        <v>172</v>
      </c>
      <c r="B173" s="23" t="n">
        <f aca="false">ROUND(가정!$B$32*(A173+1)^가정!$B$33,0)</f>
        <v>151</v>
      </c>
      <c r="C173" s="47" t="n">
        <f aca="false">IF(B173&gt;=IFERROR(INDEX(가정!$B$42:$B$50,C172),1000000),C172+1,C172)</f>
        <v>6</v>
      </c>
      <c r="D173" s="25" t="n">
        <f aca="false">가정!$B$34^(C173-1)</f>
        <v>97.65625</v>
      </c>
      <c r="E173" s="25" t="n">
        <f aca="false">(B173/10)^가정!$B$36</f>
        <v>76.9773782796511</v>
      </c>
      <c r="F173" s="24" t="n">
        <f aca="false">IF(C173&gt;C172,(F172+E173)*가정!$B$35,F172+E173)</f>
        <v>1270.8322539391</v>
      </c>
      <c r="G173" s="25" t="n">
        <f aca="false">(1+F173*가정!$B$37)*D173</f>
        <v>2579.75049597481</v>
      </c>
      <c r="H173" s="25" t="n">
        <f aca="false">(1+F173*가정!$B$38)*D173^0.6</f>
        <v>313.476309516977</v>
      </c>
      <c r="I173" s="48" t="n">
        <f aca="false">가정!$B$5*가정!$B$7*가정!$B$6^(B173-1)/가정!$B$18</f>
        <v>913612.803729381</v>
      </c>
      <c r="J173" s="48" t="n">
        <f aca="false">(가정!$B$12+가정!$B$15*(LOG(가정!$B$9*가정!$B$7*H173*가정!$B$10^B173/(가정!$B$10-1)*(가정!$B$14-1)/가정!$B$13)/LOG(가정!$B$14)))*G173</f>
        <v>1230603.45010357</v>
      </c>
      <c r="K173" s="49" t="n">
        <f aca="false">IFERROR(J173/I173,0)</f>
        <v>1.34696388347474</v>
      </c>
      <c r="L173" s="25" t="n">
        <f aca="false">A173/가정!$B$39</f>
        <v>57.3333333333333</v>
      </c>
      <c r="M173" s="26" t="str">
        <f aca="false">IF(K173&lt;1,"미달",IF(K173&gt;4,"과잉","적정"))</f>
        <v>적정</v>
      </c>
    </row>
    <row r="174" customFormat="false" ht="15" hidden="false" customHeight="true" outlineLevel="0" collapsed="false">
      <c r="A174" s="23" t="n">
        <v>173</v>
      </c>
      <c r="B174" s="23" t="n">
        <f aca="false">ROUND(가정!$B$32*(A174+1)^가정!$B$33,0)</f>
        <v>151</v>
      </c>
      <c r="C174" s="47" t="n">
        <f aca="false">IF(B174&gt;=IFERROR(INDEX(가정!$B$42:$B$50,C173),1000000),C173+1,C173)</f>
        <v>6</v>
      </c>
      <c r="D174" s="25" t="n">
        <f aca="false">가정!$B$34^(C174-1)</f>
        <v>97.65625</v>
      </c>
      <c r="E174" s="25" t="n">
        <f aca="false">(B174/10)^가정!$B$36</f>
        <v>76.9773782796511</v>
      </c>
      <c r="F174" s="24" t="n">
        <f aca="false">IF(C174&gt;C173,(F173+E174)*가정!$B$35,F173+E174)</f>
        <v>1347.80963221875</v>
      </c>
      <c r="G174" s="25" t="n">
        <f aca="false">(1+F174*가정!$B$37)*D174</f>
        <v>2730.09693792725</v>
      </c>
      <c r="H174" s="25" t="n">
        <f aca="false">(1+F174*가정!$B$38)*D174^0.6</f>
        <v>331.51788255127</v>
      </c>
      <c r="I174" s="48" t="n">
        <f aca="false">가정!$B$5*가정!$B$7*가정!$B$6^(B174-1)/가정!$B$18</f>
        <v>913612.803729381</v>
      </c>
      <c r="J174" s="48" t="n">
        <f aca="false">(가정!$B$12+가정!$B$15*(LOG(가정!$B$9*가정!$B$7*H174*가정!$B$10^B174/(가정!$B$10-1)*(가정!$B$14-1)/가정!$B$13)/LOG(가정!$B$14)))*G174</f>
        <v>1306366.43843965</v>
      </c>
      <c r="K174" s="49" t="n">
        <f aca="false">IFERROR(J174/I174,0)</f>
        <v>1.42989068575554</v>
      </c>
      <c r="L174" s="25" t="n">
        <f aca="false">A174/가정!$B$39</f>
        <v>57.6666666666667</v>
      </c>
      <c r="M174" s="26" t="str">
        <f aca="false">IF(K174&lt;1,"미달",IF(K174&gt;4,"과잉","적정"))</f>
        <v>적정</v>
      </c>
    </row>
    <row r="175" customFormat="false" ht="15" hidden="false" customHeight="true" outlineLevel="0" collapsed="false">
      <c r="A175" s="23" t="n">
        <v>174</v>
      </c>
      <c r="B175" s="23" t="n">
        <f aca="false">ROUND(가정!$B$32*(A175+1)^가정!$B$33,0)</f>
        <v>151</v>
      </c>
      <c r="C175" s="47" t="n">
        <f aca="false">IF(B175&gt;=IFERROR(INDEX(가정!$B$42:$B$50,C174),1000000),C174+1,C174)</f>
        <v>6</v>
      </c>
      <c r="D175" s="25" t="n">
        <f aca="false">가정!$B$34^(C175-1)</f>
        <v>97.65625</v>
      </c>
      <c r="E175" s="25" t="n">
        <f aca="false">(B175/10)^가정!$B$36</f>
        <v>76.9773782796511</v>
      </c>
      <c r="F175" s="24" t="n">
        <f aca="false">IF(C175&gt;C174,(F174+E175)*가정!$B$35,F174+E175)</f>
        <v>1424.7870104984</v>
      </c>
      <c r="G175" s="25" t="n">
        <f aca="false">(1+F175*가정!$B$37)*D175</f>
        <v>2880.44337987969</v>
      </c>
      <c r="H175" s="25" t="n">
        <f aca="false">(1+F175*가정!$B$38)*D175^0.6</f>
        <v>349.559455585563</v>
      </c>
      <c r="I175" s="48" t="n">
        <f aca="false">가정!$B$5*가정!$B$7*가정!$B$6^(B175-1)/가정!$B$18</f>
        <v>913612.803729381</v>
      </c>
      <c r="J175" s="48" t="n">
        <f aca="false">(가정!$B$12+가정!$B$15*(LOG(가정!$B$9*가정!$B$7*H175*가정!$B$10^B175/(가정!$B$10-1)*(가정!$B$14-1)/가정!$B$13)/LOG(가정!$B$14)))*G175</f>
        <v>1382348.68148026</v>
      </c>
      <c r="K175" s="49" t="n">
        <f aca="false">IFERROR(J175/I175,0)</f>
        <v>1.51305747449849</v>
      </c>
      <c r="L175" s="25" t="n">
        <f aca="false">A175/가정!$B$39</f>
        <v>58</v>
      </c>
      <c r="M175" s="26" t="str">
        <f aca="false">IF(K175&lt;1,"미달",IF(K175&gt;4,"과잉","적정"))</f>
        <v>적정</v>
      </c>
    </row>
    <row r="176" customFormat="false" ht="15" hidden="false" customHeight="true" outlineLevel="0" collapsed="false">
      <c r="A176" s="23" t="n">
        <v>175</v>
      </c>
      <c r="B176" s="23" t="n">
        <f aca="false">ROUND(가정!$B$32*(A176+1)^가정!$B$33,0)</f>
        <v>151</v>
      </c>
      <c r="C176" s="47" t="n">
        <f aca="false">IF(B176&gt;=IFERROR(INDEX(가정!$B$42:$B$50,C175),1000000),C175+1,C175)</f>
        <v>6</v>
      </c>
      <c r="D176" s="25" t="n">
        <f aca="false">가정!$B$34^(C176-1)</f>
        <v>97.65625</v>
      </c>
      <c r="E176" s="25" t="n">
        <f aca="false">(B176/10)^가정!$B$36</f>
        <v>76.9773782796511</v>
      </c>
      <c r="F176" s="24" t="n">
        <f aca="false">IF(C176&gt;C175,(F175+E176)*가정!$B$35,F175+E176)</f>
        <v>1501.76438877805</v>
      </c>
      <c r="G176" s="25" t="n">
        <f aca="false">(1+F176*가정!$B$37)*D176</f>
        <v>3030.78982183214</v>
      </c>
      <c r="H176" s="25" t="n">
        <f aca="false">(1+F176*가정!$B$38)*D176^0.6</f>
        <v>367.601028619856</v>
      </c>
      <c r="I176" s="48" t="n">
        <f aca="false">가정!$B$5*가정!$B$7*가정!$B$6^(B176-1)/가정!$B$18</f>
        <v>913612.803729381</v>
      </c>
      <c r="J176" s="48" t="n">
        <f aca="false">(가정!$B$12+가정!$B$15*(LOG(가정!$B$9*가정!$B$7*H176*가정!$B$10^B176/(가정!$B$10-1)*(가정!$B$14-1)/가정!$B$13)/LOG(가정!$B$14)))*G176</f>
        <v>1458538.72731398</v>
      </c>
      <c r="K176" s="49" t="n">
        <f aca="false">IFERROR(J176/I176,0)</f>
        <v>1.59645171494992</v>
      </c>
      <c r="L176" s="25" t="n">
        <f aca="false">A176/가정!$B$39</f>
        <v>58.3333333333333</v>
      </c>
      <c r="M176" s="26" t="str">
        <f aca="false">IF(K176&lt;1,"미달",IF(K176&gt;4,"과잉","적정"))</f>
        <v>적정</v>
      </c>
    </row>
    <row r="177" customFormat="false" ht="15" hidden="false" customHeight="true" outlineLevel="0" collapsed="false">
      <c r="A177" s="23" t="n">
        <v>176</v>
      </c>
      <c r="B177" s="23" t="n">
        <f aca="false">ROUND(가정!$B$32*(A177+1)^가정!$B$33,0)</f>
        <v>152</v>
      </c>
      <c r="C177" s="47" t="n">
        <f aca="false">IF(B177&gt;=IFERROR(INDEX(가정!$B$42:$B$50,C176),1000000),C176+1,C176)</f>
        <v>6</v>
      </c>
      <c r="D177" s="25" t="n">
        <f aca="false">가정!$B$34^(C177-1)</f>
        <v>97.65625</v>
      </c>
      <c r="E177" s="25" t="n">
        <f aca="false">(B177/10)^가정!$B$36</f>
        <v>77.7946516967446</v>
      </c>
      <c r="F177" s="24" t="n">
        <f aca="false">IF(C177&gt;C176,(F176+E177)*가정!$B$35,F176+E177)</f>
        <v>1579.5590404748</v>
      </c>
      <c r="G177" s="25" t="n">
        <f aca="false">(1+F177*가정!$B$37)*D177</f>
        <v>3182.73250092734</v>
      </c>
      <c r="H177" s="25" t="n">
        <f aca="false">(1+F177*가정!$B$38)*D177^0.6</f>
        <v>385.834150111281</v>
      </c>
      <c r="I177" s="48" t="n">
        <f aca="false">가정!$B$5*가정!$B$7*가정!$B$6^(B177-1)/가정!$B$18</f>
        <v>995837.956065026</v>
      </c>
      <c r="J177" s="48" t="n">
        <f aca="false">(가정!$B$12+가정!$B$15*(LOG(가정!$B$9*가정!$B$7*H177*가정!$B$10^B177/(가정!$B$10-1)*(가정!$B$14-1)/가정!$B$13)/LOG(가정!$B$14)))*G177</f>
        <v>1541831.47637349</v>
      </c>
      <c r="K177" s="49" t="n">
        <f aca="false">IFERROR(J177/I177,0)</f>
        <v>1.54827546689013</v>
      </c>
      <c r="L177" s="25" t="n">
        <f aca="false">A177/가정!$B$39</f>
        <v>58.6666666666667</v>
      </c>
      <c r="M177" s="26" t="str">
        <f aca="false">IF(K177&lt;1,"미달",IF(K177&gt;4,"과잉","적정"))</f>
        <v>적정</v>
      </c>
    </row>
    <row r="178" customFormat="false" ht="15" hidden="false" customHeight="true" outlineLevel="0" collapsed="false">
      <c r="A178" s="23" t="n">
        <v>177</v>
      </c>
      <c r="B178" s="23" t="n">
        <f aca="false">ROUND(가정!$B$32*(A178+1)^가정!$B$33,0)</f>
        <v>152</v>
      </c>
      <c r="C178" s="47" t="n">
        <f aca="false">IF(B178&gt;=IFERROR(INDEX(가정!$B$42:$B$50,C177),1000000),C177+1,C177)</f>
        <v>6</v>
      </c>
      <c r="D178" s="25" t="n">
        <f aca="false">가정!$B$34^(C178-1)</f>
        <v>97.65625</v>
      </c>
      <c r="E178" s="25" t="n">
        <f aca="false">(B178/10)^가정!$B$36</f>
        <v>77.7946516967446</v>
      </c>
      <c r="F178" s="24" t="n">
        <f aca="false">IF(C178&gt;C177,(F177+E178)*가정!$B$35,F177+E178)</f>
        <v>1657.35369217154</v>
      </c>
      <c r="G178" s="25" t="n">
        <f aca="false">(1+F178*가정!$B$37)*D178</f>
        <v>3334.67518002254</v>
      </c>
      <c r="H178" s="25" t="n">
        <f aca="false">(1+F178*가정!$B$38)*D178^0.6</f>
        <v>404.067271602705</v>
      </c>
      <c r="I178" s="48" t="n">
        <f aca="false">가정!$B$5*가정!$B$7*가정!$B$6^(B178-1)/가정!$B$18</f>
        <v>995837.956065026</v>
      </c>
      <c r="J178" s="48" t="n">
        <f aca="false">(가정!$B$12+가정!$B$15*(LOG(가정!$B$9*가정!$B$7*H178*가정!$B$10^B178/(가정!$B$10-1)*(가정!$B$14-1)/가정!$B$13)/LOG(가정!$B$14)))*G178</f>
        <v>1619514.00376726</v>
      </c>
      <c r="K178" s="49" t="n">
        <f aca="false">IFERROR(J178/I178,0)</f>
        <v>1.62628266366412</v>
      </c>
      <c r="L178" s="25" t="n">
        <f aca="false">A178/가정!$B$39</f>
        <v>59</v>
      </c>
      <c r="M178" s="26" t="str">
        <f aca="false">IF(K178&lt;1,"미달",IF(K178&gt;4,"과잉","적정"))</f>
        <v>적정</v>
      </c>
    </row>
    <row r="179" customFormat="false" ht="15" hidden="false" customHeight="true" outlineLevel="0" collapsed="false">
      <c r="A179" s="23" t="n">
        <v>178</v>
      </c>
      <c r="B179" s="23" t="n">
        <f aca="false">ROUND(가정!$B$32*(A179+1)^가정!$B$33,0)</f>
        <v>152</v>
      </c>
      <c r="C179" s="47" t="n">
        <f aca="false">IF(B179&gt;=IFERROR(INDEX(가정!$B$42:$B$50,C178),1000000),C178+1,C178)</f>
        <v>6</v>
      </c>
      <c r="D179" s="25" t="n">
        <f aca="false">가정!$B$34^(C179-1)</f>
        <v>97.65625</v>
      </c>
      <c r="E179" s="25" t="n">
        <f aca="false">(B179/10)^가정!$B$36</f>
        <v>77.7946516967446</v>
      </c>
      <c r="F179" s="24" t="n">
        <f aca="false">IF(C179&gt;C178,(F178+E179)*가정!$B$35,F178+E179)</f>
        <v>1735.14834386829</v>
      </c>
      <c r="G179" s="25" t="n">
        <f aca="false">(1+F179*가정!$B$37)*D179</f>
        <v>3486.61785911775</v>
      </c>
      <c r="H179" s="25" t="n">
        <f aca="false">(1+F179*가정!$B$38)*D179^0.6</f>
        <v>422.30039309413</v>
      </c>
      <c r="I179" s="48" t="n">
        <f aca="false">가정!$B$5*가정!$B$7*가정!$B$6^(B179-1)/가정!$B$18</f>
        <v>995837.956065026</v>
      </c>
      <c r="J179" s="48" t="n">
        <f aca="false">(가정!$B$12+가정!$B$15*(LOG(가정!$B$9*가정!$B$7*H179*가정!$B$10^B179/(가정!$B$10-1)*(가정!$B$14-1)/가정!$B$13)/LOG(가정!$B$14)))*G179</f>
        <v>1697379.84579703</v>
      </c>
      <c r="K179" s="49" t="n">
        <f aca="false">IFERROR(J179/I179,0)</f>
        <v>1.70447394122643</v>
      </c>
      <c r="L179" s="25" t="n">
        <f aca="false">A179/가정!$B$39</f>
        <v>59.3333333333333</v>
      </c>
      <c r="M179" s="26" t="str">
        <f aca="false">IF(K179&lt;1,"미달",IF(K179&gt;4,"과잉","적정"))</f>
        <v>적정</v>
      </c>
    </row>
    <row r="180" customFormat="false" ht="15" hidden="false" customHeight="true" outlineLevel="0" collapsed="false">
      <c r="A180" s="23" t="n">
        <v>179</v>
      </c>
      <c r="B180" s="23" t="n">
        <f aca="false">ROUND(가정!$B$32*(A180+1)^가정!$B$33,0)</f>
        <v>152</v>
      </c>
      <c r="C180" s="47" t="n">
        <f aca="false">IF(B180&gt;=IFERROR(INDEX(가정!$B$42:$B$50,C179),1000000),C179+1,C179)</f>
        <v>6</v>
      </c>
      <c r="D180" s="25" t="n">
        <f aca="false">가정!$B$34^(C180-1)</f>
        <v>97.65625</v>
      </c>
      <c r="E180" s="25" t="n">
        <f aca="false">(B180/10)^가정!$B$36</f>
        <v>77.7946516967446</v>
      </c>
      <c r="F180" s="24" t="n">
        <f aca="false">IF(C180&gt;C179,(F179+E180)*가정!$B$35,F179+E180)</f>
        <v>1812.94299556503</v>
      </c>
      <c r="G180" s="25" t="n">
        <f aca="false">(1+F180*가정!$B$37)*D180</f>
        <v>3638.56053821295</v>
      </c>
      <c r="H180" s="25" t="n">
        <f aca="false">(1+F180*가정!$B$38)*D180^0.6</f>
        <v>440.533514585554</v>
      </c>
      <c r="I180" s="48" t="n">
        <f aca="false">가정!$B$5*가정!$B$7*가정!$B$6^(B180-1)/가정!$B$18</f>
        <v>995837.956065026</v>
      </c>
      <c r="J180" s="48" t="n">
        <f aca="false">(가정!$B$12+가정!$B$15*(LOG(가정!$B$9*가정!$B$7*H180*가정!$B$10^B180/(가정!$B$10-1)*(가정!$B$14-1)/가정!$B$13)/LOG(가정!$B$14)))*G180</f>
        <v>1775421.01003818</v>
      </c>
      <c r="K180" s="49" t="n">
        <f aca="false">IFERROR(J180/I180,0)</f>
        <v>1.78284127374861</v>
      </c>
      <c r="L180" s="25" t="n">
        <f aca="false">A180/가정!$B$39</f>
        <v>59.6666666666667</v>
      </c>
      <c r="M180" s="26" t="str">
        <f aca="false">IF(K180&lt;1,"미달",IF(K180&gt;4,"과잉","적정"))</f>
        <v>적정</v>
      </c>
    </row>
    <row r="181" customFormat="false" ht="15" hidden="false" customHeight="true" outlineLevel="0" collapsed="false">
      <c r="A181" s="27" t="n">
        <v>180</v>
      </c>
      <c r="B181" s="27" t="n">
        <f aca="false">ROUND(가정!$B$32*(A181+1)^가정!$B$33,0)</f>
        <v>153</v>
      </c>
      <c r="C181" s="50" t="n">
        <f aca="false">IF(B181&gt;=IFERROR(INDEX(가정!$B$42:$B$50,C180),1000000),C180+1,C180)</f>
        <v>6</v>
      </c>
      <c r="D181" s="29" t="n">
        <f aca="false">가정!$B$34^(C181-1)</f>
        <v>97.65625</v>
      </c>
      <c r="E181" s="29" t="n">
        <f aca="false">(B181/10)^가정!$B$36</f>
        <v>78.6151575851192</v>
      </c>
      <c r="F181" s="28" t="n">
        <f aca="false">IF(C181&gt;C180,(F180+E181)*가정!$B$35,F180+E181)</f>
        <v>1891.55815315015</v>
      </c>
      <c r="G181" s="29" t="n">
        <f aca="false">(1+F181*가정!$B$37)*D181</f>
        <v>3792.10576787139</v>
      </c>
      <c r="H181" s="29" t="n">
        <f aca="false">(1+F181*가정!$B$38)*D181^0.6</f>
        <v>458.958942144567</v>
      </c>
      <c r="I181" s="51" t="n">
        <f aca="false">가정!$B$5*가정!$B$7*가정!$B$6^(B181-1)/가정!$B$18</f>
        <v>1085463.37211088</v>
      </c>
      <c r="J181" s="51" t="n">
        <f aca="false">(가정!$B$12+가정!$B$15*(LOG(가정!$B$9*가정!$B$7*H181*가정!$B$10^B181/(가정!$B$10-1)*(가정!$B$14-1)/가정!$B$13)/LOG(가정!$B$14)))*G181</f>
        <v>1861715.71350524</v>
      </c>
      <c r="K181" s="52" t="n">
        <f aca="false">IFERROR(J181/I181,0)</f>
        <v>1.71513453271555</v>
      </c>
      <c r="L181" s="29" t="n">
        <f aca="false">A181/가정!$B$39</f>
        <v>60</v>
      </c>
      <c r="M181" s="30" t="str">
        <f aca="false">IF(K181&lt;1,"미달",IF(K181&gt;4,"과잉","적정"))</f>
        <v>적정</v>
      </c>
    </row>
    <row r="182" customFormat="false" ht="15" hidden="false" customHeight="true" outlineLevel="0" collapsed="false">
      <c r="A182" s="23" t="n">
        <v>181</v>
      </c>
      <c r="B182" s="23" t="n">
        <f aca="false">ROUND(가정!$B$32*(A182+1)^가정!$B$33,0)</f>
        <v>153</v>
      </c>
      <c r="C182" s="47" t="n">
        <f aca="false">IF(B182&gt;=IFERROR(INDEX(가정!$B$42:$B$50,C181),1000000),C181+1,C181)</f>
        <v>6</v>
      </c>
      <c r="D182" s="25" t="n">
        <f aca="false">가정!$B$34^(C182-1)</f>
        <v>97.65625</v>
      </c>
      <c r="E182" s="25" t="n">
        <f aca="false">(B182/10)^가정!$B$36</f>
        <v>78.6151575851192</v>
      </c>
      <c r="F182" s="24" t="n">
        <f aca="false">IF(C182&gt;C181,(F181+E182)*가정!$B$35,F181+E182)</f>
        <v>1970.17331073527</v>
      </c>
      <c r="G182" s="25" t="n">
        <f aca="false">(1+F182*가정!$B$37)*D182</f>
        <v>3945.65099752983</v>
      </c>
      <c r="H182" s="25" t="n">
        <f aca="false">(1+F182*가정!$B$38)*D182^0.6</f>
        <v>477.384369703579</v>
      </c>
      <c r="I182" s="48" t="n">
        <f aca="false">가정!$B$5*가정!$B$7*가정!$B$6^(B182-1)/가정!$B$18</f>
        <v>1085463.37211088</v>
      </c>
      <c r="J182" s="48" t="n">
        <f aca="false">(가정!$B$12+가정!$B$15*(LOG(가정!$B$9*가정!$B$7*H182*가정!$B$10^B182/(가정!$B$10-1)*(가정!$B$14-1)/가정!$B$13)/LOG(가정!$B$14)))*G182</f>
        <v>1941209.1902575</v>
      </c>
      <c r="K182" s="49" t="n">
        <f aca="false">IFERROR(J182/I182,0)</f>
        <v>1.78836913352725</v>
      </c>
      <c r="L182" s="25" t="n">
        <f aca="false">A182/가정!$B$39</f>
        <v>60.3333333333333</v>
      </c>
      <c r="M182" s="26" t="str">
        <f aca="false">IF(K182&lt;1,"미달",IF(K182&gt;4,"과잉","적정"))</f>
        <v>적정</v>
      </c>
    </row>
    <row r="183" customFormat="false" ht="15" hidden="false" customHeight="true" outlineLevel="0" collapsed="false">
      <c r="A183" s="23" t="n">
        <v>182</v>
      </c>
      <c r="B183" s="23" t="n">
        <f aca="false">ROUND(가정!$B$32*(A183+1)^가정!$B$33,0)</f>
        <v>153</v>
      </c>
      <c r="C183" s="47" t="n">
        <f aca="false">IF(B183&gt;=IFERROR(INDEX(가정!$B$42:$B$50,C182),1000000),C182+1,C182)</f>
        <v>6</v>
      </c>
      <c r="D183" s="25" t="n">
        <f aca="false">가정!$B$34^(C183-1)</f>
        <v>97.65625</v>
      </c>
      <c r="E183" s="25" t="n">
        <f aca="false">(B183/10)^가정!$B$36</f>
        <v>78.6151575851192</v>
      </c>
      <c r="F183" s="24" t="n">
        <f aca="false">IF(C183&gt;C182,(F182+E183)*가정!$B$35,F182+E183)</f>
        <v>2048.78846832039</v>
      </c>
      <c r="G183" s="25" t="n">
        <f aca="false">(1+F183*가정!$B$37)*D183</f>
        <v>4099.19622718826</v>
      </c>
      <c r="H183" s="25" t="n">
        <f aca="false">(1+F183*가정!$B$38)*D183^0.6</f>
        <v>495.809797262591</v>
      </c>
      <c r="I183" s="48" t="n">
        <f aca="false">가정!$B$5*가정!$B$7*가정!$B$6^(B183-1)/가정!$B$18</f>
        <v>1085463.37211088</v>
      </c>
      <c r="J183" s="48" t="n">
        <f aca="false">(가정!$B$12+가정!$B$15*(LOG(가정!$B$9*가정!$B$7*H183*가정!$B$10^B183/(가정!$B$10-1)*(가정!$B$14-1)/가정!$B$13)/LOG(가정!$B$14)))*G183</f>
        <v>2020860.87045764</v>
      </c>
      <c r="K183" s="49" t="n">
        <f aca="false">IFERROR(J183/I183,0)</f>
        <v>1.86174948172384</v>
      </c>
      <c r="L183" s="25" t="n">
        <f aca="false">A183/가정!$B$39</f>
        <v>60.6666666666667</v>
      </c>
      <c r="M183" s="26" t="str">
        <f aca="false">IF(K183&lt;1,"미달",IF(K183&gt;4,"과잉","적정"))</f>
        <v>적정</v>
      </c>
    </row>
    <row r="184" customFormat="false" ht="15" hidden="false" customHeight="true" outlineLevel="0" collapsed="false">
      <c r="A184" s="23" t="n">
        <v>183</v>
      </c>
      <c r="B184" s="23" t="n">
        <f aca="false">ROUND(가정!$B$32*(A184+1)^가정!$B$33,0)</f>
        <v>153</v>
      </c>
      <c r="C184" s="47" t="n">
        <f aca="false">IF(B184&gt;=IFERROR(INDEX(가정!$B$42:$B$50,C183),1000000),C183+1,C183)</f>
        <v>6</v>
      </c>
      <c r="D184" s="25" t="n">
        <f aca="false">가정!$B$34^(C184-1)</f>
        <v>97.65625</v>
      </c>
      <c r="E184" s="25" t="n">
        <f aca="false">(B184/10)^가정!$B$36</f>
        <v>78.6151575851192</v>
      </c>
      <c r="F184" s="24" t="n">
        <f aca="false">IF(C184&gt;C183,(F183+E184)*가정!$B$35,F183+E184)</f>
        <v>2127.40362590551</v>
      </c>
      <c r="G184" s="25" t="n">
        <f aca="false">(1+F184*가정!$B$37)*D184</f>
        <v>4252.7414568467</v>
      </c>
      <c r="H184" s="25" t="n">
        <f aca="false">(1+F184*가정!$B$38)*D184^0.6</f>
        <v>514.235224821604</v>
      </c>
      <c r="I184" s="48" t="n">
        <f aca="false">가정!$B$5*가정!$B$7*가정!$B$6^(B184-1)/가정!$B$18</f>
        <v>1085463.37211088</v>
      </c>
      <c r="J184" s="48" t="n">
        <f aca="false">(가정!$B$12+가정!$B$15*(LOG(가정!$B$9*가정!$B$7*H184*가정!$B$10^B184/(가정!$B$10-1)*(가정!$B$14-1)/가정!$B$13)/LOG(가정!$B$14)))*G184</f>
        <v>2100664.8261335</v>
      </c>
      <c r="K184" s="49" t="n">
        <f aca="false">IFERROR(J184/I184,0)</f>
        <v>1.93527011606885</v>
      </c>
      <c r="L184" s="25" t="n">
        <f aca="false">A184/가정!$B$39</f>
        <v>61</v>
      </c>
      <c r="M184" s="26" t="str">
        <f aca="false">IF(K184&lt;1,"미달",IF(K184&gt;4,"과잉","적정"))</f>
        <v>적정</v>
      </c>
    </row>
    <row r="185" customFormat="false" ht="15" hidden="false" customHeight="true" outlineLevel="0" collapsed="false">
      <c r="A185" s="23" t="n">
        <v>184</v>
      </c>
      <c r="B185" s="23" t="n">
        <f aca="false">ROUND(가정!$B$32*(A185+1)^가정!$B$33,0)</f>
        <v>154</v>
      </c>
      <c r="C185" s="47" t="n">
        <f aca="false">IF(B185&gt;=IFERROR(INDEX(가정!$B$42:$B$50,C184),1000000),C184+1,C184)</f>
        <v>6</v>
      </c>
      <c r="D185" s="25" t="n">
        <f aca="false">가정!$B$34^(C185-1)</f>
        <v>97.65625</v>
      </c>
      <c r="E185" s="25" t="n">
        <f aca="false">(B185/10)^가정!$B$36</f>
        <v>79.4388874771563</v>
      </c>
      <c r="F185" s="24" t="n">
        <f aca="false">IF(C185&gt;C184,(F184+E185)*가정!$B$35,F184+E185)</f>
        <v>2206.84251338267</v>
      </c>
      <c r="G185" s="25" t="n">
        <f aca="false">(1+F185*가정!$B$37)*D185</f>
        <v>4407.89553395052</v>
      </c>
      <c r="H185" s="25" t="n">
        <f aca="false">(1+F185*가정!$B$38)*D185^0.6</f>
        <v>532.853714074062</v>
      </c>
      <c r="I185" s="48" t="n">
        <f aca="false">가정!$B$5*가정!$B$7*가정!$B$6^(B185-1)/가정!$B$18</f>
        <v>1183155.07560086</v>
      </c>
      <c r="J185" s="48" t="n">
        <f aca="false">(가정!$B$12+가정!$B$15*(LOG(가정!$B$9*가정!$B$7*H185*가정!$B$10^B185/(가정!$B$10-1)*(가정!$B$14-1)/가정!$B$13)/LOG(가정!$B$14)))*G185</f>
        <v>2189892.73123526</v>
      </c>
      <c r="K185" s="49" t="n">
        <f aca="false">IFERROR(J185/I185,0)</f>
        <v>1.85089239474643</v>
      </c>
      <c r="L185" s="25" t="n">
        <f aca="false">A185/가정!$B$39</f>
        <v>61.3333333333333</v>
      </c>
      <c r="M185" s="26" t="str">
        <f aca="false">IF(K185&lt;1,"미달",IF(K185&gt;4,"과잉","적정"))</f>
        <v>적정</v>
      </c>
    </row>
    <row r="186" customFormat="false" ht="15" hidden="false" customHeight="true" outlineLevel="0" collapsed="false">
      <c r="A186" s="23" t="n">
        <v>185</v>
      </c>
      <c r="B186" s="23" t="n">
        <f aca="false">ROUND(가정!$B$32*(A186+1)^가정!$B$33,0)</f>
        <v>154</v>
      </c>
      <c r="C186" s="47" t="n">
        <f aca="false">IF(B186&gt;=IFERROR(INDEX(가정!$B$42:$B$50,C185),1000000),C185+1,C185)</f>
        <v>6</v>
      </c>
      <c r="D186" s="25" t="n">
        <f aca="false">가정!$B$34^(C186-1)</f>
        <v>97.65625</v>
      </c>
      <c r="E186" s="25" t="n">
        <f aca="false">(B186/10)^가정!$B$36</f>
        <v>79.4388874771563</v>
      </c>
      <c r="F186" s="24" t="n">
        <f aca="false">IF(C186&gt;C185,(F185+E186)*가정!$B$35,F185+E186)</f>
        <v>2286.28140085982</v>
      </c>
      <c r="G186" s="25" t="n">
        <f aca="false">(1+F186*가정!$B$37)*D186</f>
        <v>4563.04961105434</v>
      </c>
      <c r="H186" s="25" t="n">
        <f aca="false">(1+F186*가정!$B$38)*D186^0.6</f>
        <v>551.472203326521</v>
      </c>
      <c r="I186" s="48" t="n">
        <f aca="false">가정!$B$5*가정!$B$7*가정!$B$6^(B186-1)/가정!$B$18</f>
        <v>1183155.07560086</v>
      </c>
      <c r="J186" s="48" t="n">
        <f aca="false">(가정!$B$12+가정!$B$15*(LOG(가정!$B$9*가정!$B$7*H186*가정!$B$10^B186/(가정!$B$10-1)*(가정!$B$14-1)/가정!$B$13)/LOG(가정!$B$14)))*G186</f>
        <v>2271123.57136769</v>
      </c>
      <c r="K186" s="49" t="n">
        <f aca="false">IFERROR(J186/I186,0)</f>
        <v>1.91954851752153</v>
      </c>
      <c r="L186" s="25" t="n">
        <f aca="false">A186/가정!$B$39</f>
        <v>61.6666666666667</v>
      </c>
      <c r="M186" s="26" t="str">
        <f aca="false">IF(K186&lt;1,"미달",IF(K186&gt;4,"과잉","적정"))</f>
        <v>적정</v>
      </c>
    </row>
    <row r="187" customFormat="false" ht="15" hidden="false" customHeight="true" outlineLevel="0" collapsed="false">
      <c r="A187" s="23" t="n">
        <v>186</v>
      </c>
      <c r="B187" s="23" t="n">
        <f aca="false">ROUND(가정!$B$32*(A187+1)^가정!$B$33,0)</f>
        <v>154</v>
      </c>
      <c r="C187" s="47" t="n">
        <f aca="false">IF(B187&gt;=IFERROR(INDEX(가정!$B$42:$B$50,C186),1000000),C186+1,C186)</f>
        <v>6</v>
      </c>
      <c r="D187" s="25" t="n">
        <f aca="false">가정!$B$34^(C187-1)</f>
        <v>97.65625</v>
      </c>
      <c r="E187" s="25" t="n">
        <f aca="false">(B187/10)^가정!$B$36</f>
        <v>79.4388874771563</v>
      </c>
      <c r="F187" s="24" t="n">
        <f aca="false">IF(C187&gt;C186,(F186+E187)*가정!$B$35,F186+E187)</f>
        <v>2365.72028833698</v>
      </c>
      <c r="G187" s="25" t="n">
        <f aca="false">(1+F187*가정!$B$37)*D187</f>
        <v>4718.20368815816</v>
      </c>
      <c r="H187" s="25" t="n">
        <f aca="false">(1+F187*가정!$B$38)*D187^0.6</f>
        <v>570.090692578979</v>
      </c>
      <c r="I187" s="48" t="n">
        <f aca="false">가정!$B$5*가정!$B$7*가정!$B$6^(B187-1)/가정!$B$18</f>
        <v>1183155.07560086</v>
      </c>
      <c r="J187" s="48" t="n">
        <f aca="false">(가정!$B$12+가정!$B$15*(LOG(가정!$B$9*가정!$B$7*H187*가정!$B$10^B187/(가정!$B$10-1)*(가정!$B$14-1)/가정!$B$13)/LOG(가정!$B$14)))*G187</f>
        <v>2352494.08515668</v>
      </c>
      <c r="K187" s="49" t="n">
        <f aca="false">IFERROR(J187/I187,0)</f>
        <v>1.98832269215595</v>
      </c>
      <c r="L187" s="25" t="n">
        <f aca="false">A187/가정!$B$39</f>
        <v>62</v>
      </c>
      <c r="M187" s="26" t="str">
        <f aca="false">IF(K187&lt;1,"미달",IF(K187&gt;4,"과잉","적정"))</f>
        <v>적정</v>
      </c>
    </row>
    <row r="188" customFormat="false" ht="15" hidden="false" customHeight="true" outlineLevel="0" collapsed="false">
      <c r="A188" s="23" t="n">
        <v>187</v>
      </c>
      <c r="B188" s="23" t="n">
        <f aca="false">ROUND(가정!$B$32*(A188+1)^가정!$B$33,0)</f>
        <v>154</v>
      </c>
      <c r="C188" s="47" t="n">
        <f aca="false">IF(B188&gt;=IFERROR(INDEX(가정!$B$42:$B$50,C187),1000000),C187+1,C187)</f>
        <v>6</v>
      </c>
      <c r="D188" s="25" t="n">
        <f aca="false">가정!$B$34^(C188-1)</f>
        <v>97.65625</v>
      </c>
      <c r="E188" s="25" t="n">
        <f aca="false">(B188/10)^가정!$B$36</f>
        <v>79.4388874771563</v>
      </c>
      <c r="F188" s="24" t="n">
        <f aca="false">IF(C188&gt;C187,(F187+E188)*가정!$B$35,F187+E188)</f>
        <v>2445.15917581413</v>
      </c>
      <c r="G188" s="25" t="n">
        <f aca="false">(1+F188*가정!$B$37)*D188</f>
        <v>4873.35776526198</v>
      </c>
      <c r="H188" s="25" t="n">
        <f aca="false">(1+F188*가정!$B$38)*D188^0.6</f>
        <v>588.709181831437</v>
      </c>
      <c r="I188" s="48" t="n">
        <f aca="false">가정!$B$5*가정!$B$7*가정!$B$6^(B188-1)/가정!$B$18</f>
        <v>1183155.07560086</v>
      </c>
      <c r="J188" s="48" t="n">
        <f aca="false">(가정!$B$12+가정!$B$15*(LOG(가정!$B$9*가정!$B$7*H188*가정!$B$10^B188/(가정!$B$10-1)*(가정!$B$14-1)/가정!$B$13)/LOG(가정!$B$14)))*G188</f>
        <v>2433999.6783053</v>
      </c>
      <c r="K188" s="49" t="n">
        <f aca="false">IFERROR(J188/I188,0)</f>
        <v>2.05721103556033</v>
      </c>
      <c r="L188" s="25" t="n">
        <f aca="false">A188/가정!$B$39</f>
        <v>62.3333333333333</v>
      </c>
      <c r="M188" s="26" t="str">
        <f aca="false">IF(K188&lt;1,"미달",IF(K188&gt;4,"과잉","적정"))</f>
        <v>적정</v>
      </c>
    </row>
    <row r="189" customFormat="false" ht="15" hidden="false" customHeight="true" outlineLevel="0" collapsed="false">
      <c r="A189" s="23" t="n">
        <v>188</v>
      </c>
      <c r="B189" s="23" t="n">
        <f aca="false">ROUND(가정!$B$32*(A189+1)^가정!$B$33,0)</f>
        <v>154</v>
      </c>
      <c r="C189" s="47" t="n">
        <f aca="false">IF(B189&gt;=IFERROR(INDEX(가정!$B$42:$B$50,C188),1000000),C188+1,C188)</f>
        <v>6</v>
      </c>
      <c r="D189" s="25" t="n">
        <f aca="false">가정!$B$34^(C189-1)</f>
        <v>97.65625</v>
      </c>
      <c r="E189" s="25" t="n">
        <f aca="false">(B189/10)^가정!$B$36</f>
        <v>79.4388874771563</v>
      </c>
      <c r="F189" s="24" t="n">
        <f aca="false">IF(C189&gt;C188,(F188+E189)*가정!$B$35,F188+E189)</f>
        <v>2524.59806329129</v>
      </c>
      <c r="G189" s="25" t="n">
        <f aca="false">(1+F189*가정!$B$37)*D189</f>
        <v>5028.5118423658</v>
      </c>
      <c r="H189" s="25" t="n">
        <f aca="false">(1+F189*가정!$B$38)*D189^0.6</f>
        <v>607.327671083896</v>
      </c>
      <c r="I189" s="48" t="n">
        <f aca="false">가정!$B$5*가정!$B$7*가정!$B$6^(B189-1)/가정!$B$18</f>
        <v>1183155.07560086</v>
      </c>
      <c r="J189" s="48" t="n">
        <f aca="false">(가정!$B$12+가정!$B$15*(LOG(가정!$B$9*가정!$B$7*H189*가정!$B$10^B189/(가정!$B$10-1)*(가정!$B$14-1)/가정!$B$13)/LOG(가정!$B$14)))*G189</f>
        <v>2515636.04916967</v>
      </c>
      <c r="K189" s="49" t="n">
        <f aca="false">IFERROR(J189/I189,0)</f>
        <v>2.12620991199495</v>
      </c>
      <c r="L189" s="25" t="n">
        <f aca="false">A189/가정!$B$39</f>
        <v>62.6666666666667</v>
      </c>
      <c r="M189" s="26" t="str">
        <f aca="false">IF(K189&lt;1,"미달",IF(K189&gt;4,"과잉","적정"))</f>
        <v>적정</v>
      </c>
    </row>
    <row r="190" customFormat="false" ht="15" hidden="false" customHeight="true" outlineLevel="0" collapsed="false">
      <c r="A190" s="23" t="n">
        <v>189</v>
      </c>
      <c r="B190" s="23" t="n">
        <f aca="false">ROUND(가정!$B$32*(A190+1)^가정!$B$33,0)</f>
        <v>155</v>
      </c>
      <c r="C190" s="47" t="n">
        <f aca="false">IF(B190&gt;=IFERROR(INDEX(가정!$B$42:$B$50,C189),1000000),C189+1,C189)</f>
        <v>6</v>
      </c>
      <c r="D190" s="25" t="n">
        <f aca="false">가정!$B$34^(C190-1)</f>
        <v>97.65625</v>
      </c>
      <c r="E190" s="25" t="n">
        <f aca="false">(B190/10)^가정!$B$36</f>
        <v>80.2658329823678</v>
      </c>
      <c r="F190" s="24" t="n">
        <f aca="false">IF(C190&gt;C189,(F189+E190)*가정!$B$35,F189+E190)</f>
        <v>2604.86389627366</v>
      </c>
      <c r="G190" s="25" t="n">
        <f aca="false">(1+F190*가정!$B$37)*D190</f>
        <v>5185.28104740949</v>
      </c>
      <c r="H190" s="25" t="n">
        <f aca="false">(1+F190*가정!$B$38)*D190^0.6</f>
        <v>626.139975689138</v>
      </c>
      <c r="I190" s="48" t="n">
        <f aca="false">가정!$B$5*가정!$B$7*가정!$B$6^(B190-1)/가정!$B$18</f>
        <v>1289639.03240493</v>
      </c>
      <c r="J190" s="48" t="n">
        <f aca="false">(가정!$B$12+가정!$B$15*(LOG(가정!$B$9*가정!$B$7*H190*가정!$B$10^B190/(가정!$B$10-1)*(가정!$B$14-1)/가정!$B$13)/LOG(가정!$B$14)))*G190</f>
        <v>2608177.91088395</v>
      </c>
      <c r="K190" s="49" t="n">
        <f aca="false">IFERROR(J190/I190,0)</f>
        <v>2.02240925200612</v>
      </c>
      <c r="L190" s="25" t="n">
        <f aca="false">A190/가정!$B$39</f>
        <v>63</v>
      </c>
      <c r="M190" s="26" t="str">
        <f aca="false">IF(K190&lt;1,"미달",IF(K190&gt;4,"과잉","적정"))</f>
        <v>적정</v>
      </c>
    </row>
    <row r="191" customFormat="false" ht="15" hidden="false" customHeight="true" outlineLevel="0" collapsed="false">
      <c r="A191" s="23" t="n">
        <v>190</v>
      </c>
      <c r="B191" s="23" t="n">
        <f aca="false">ROUND(가정!$B$32*(A191+1)^가정!$B$33,0)</f>
        <v>155</v>
      </c>
      <c r="C191" s="47" t="n">
        <f aca="false">IF(B191&gt;=IFERROR(INDEX(가정!$B$42:$B$50,C190),1000000),C190+1,C190)</f>
        <v>6</v>
      </c>
      <c r="D191" s="25" t="n">
        <f aca="false">가정!$B$34^(C191-1)</f>
        <v>97.65625</v>
      </c>
      <c r="E191" s="25" t="n">
        <f aca="false">(B191/10)^가정!$B$36</f>
        <v>80.2658329823678</v>
      </c>
      <c r="F191" s="24" t="n">
        <f aca="false">IF(C191&gt;C190,(F190+E191)*가정!$B$35,F190+E191)</f>
        <v>2685.12972925603</v>
      </c>
      <c r="G191" s="25" t="n">
        <f aca="false">(1+F191*가정!$B$37)*D191</f>
        <v>5342.05025245317</v>
      </c>
      <c r="H191" s="25" t="n">
        <f aca="false">(1+F191*가정!$B$38)*D191^0.6</f>
        <v>644.952280294381</v>
      </c>
      <c r="I191" s="48" t="n">
        <f aca="false">가정!$B$5*가정!$B$7*가정!$B$6^(B191-1)/가정!$B$18</f>
        <v>1289639.03240493</v>
      </c>
      <c r="J191" s="48" t="n">
        <f aca="false">(가정!$B$12+가정!$B$15*(LOG(가정!$B$9*가정!$B$7*H191*가정!$B$10^B191/(가정!$B$10-1)*(가정!$B$14-1)/가정!$B$13)/LOG(가정!$B$14)))*G191</f>
        <v>2691218.4248381</v>
      </c>
      <c r="K191" s="49" t="n">
        <f aca="false">IFERROR(J191/I191,0)</f>
        <v>2.08679976118549</v>
      </c>
      <c r="L191" s="25" t="n">
        <f aca="false">A191/가정!$B$39</f>
        <v>63.3333333333333</v>
      </c>
      <c r="M191" s="26" t="str">
        <f aca="false">IF(K191&lt;1,"미달",IF(K191&gt;4,"과잉","적정"))</f>
        <v>적정</v>
      </c>
    </row>
    <row r="192" customFormat="false" ht="15" hidden="false" customHeight="true" outlineLevel="0" collapsed="false">
      <c r="A192" s="23" t="n">
        <v>191</v>
      </c>
      <c r="B192" s="23" t="n">
        <f aca="false">ROUND(가정!$B$32*(A192+1)^가정!$B$33,0)</f>
        <v>155</v>
      </c>
      <c r="C192" s="47" t="n">
        <f aca="false">IF(B192&gt;=IFERROR(INDEX(가정!$B$42:$B$50,C191),1000000),C191+1,C191)</f>
        <v>6</v>
      </c>
      <c r="D192" s="25" t="n">
        <f aca="false">가정!$B$34^(C192-1)</f>
        <v>97.65625</v>
      </c>
      <c r="E192" s="25" t="n">
        <f aca="false">(B192/10)^가정!$B$36</f>
        <v>80.2658329823678</v>
      </c>
      <c r="F192" s="24" t="n">
        <f aca="false">IF(C192&gt;C191,(F191+E192)*가정!$B$35,F191+E192)</f>
        <v>2765.39556223839</v>
      </c>
      <c r="G192" s="25" t="n">
        <f aca="false">(1+F192*가정!$B$37)*D192</f>
        <v>5498.81945749686</v>
      </c>
      <c r="H192" s="25" t="n">
        <f aca="false">(1+F192*가정!$B$38)*D192^0.6</f>
        <v>663.764584899623</v>
      </c>
      <c r="I192" s="48" t="n">
        <f aca="false">가정!$B$5*가정!$B$7*가정!$B$6^(B192-1)/가정!$B$18</f>
        <v>1289639.03240493</v>
      </c>
      <c r="J192" s="48" t="n">
        <f aca="false">(가정!$B$12+가정!$B$15*(LOG(가정!$B$9*가정!$B$7*H192*가정!$B$10^B192/(가정!$B$10-1)*(가정!$B$14-1)/가정!$B$13)/LOG(가정!$B$14)))*G192</f>
        <v>2774380.73712887</v>
      </c>
      <c r="K192" s="49" t="n">
        <f aca="false">IFERROR(J192/I192,0)</f>
        <v>2.1512847141073</v>
      </c>
      <c r="L192" s="25" t="n">
        <f aca="false">A192/가정!$B$39</f>
        <v>63.6666666666667</v>
      </c>
      <c r="M192" s="26" t="str">
        <f aca="false">IF(K192&lt;1,"미달",IF(K192&gt;4,"과잉","적정"))</f>
        <v>적정</v>
      </c>
    </row>
    <row r="193" customFormat="false" ht="15" hidden="false" customHeight="true" outlineLevel="0" collapsed="false">
      <c r="A193" s="23" t="n">
        <v>192</v>
      </c>
      <c r="B193" s="23" t="n">
        <f aca="false">ROUND(가정!$B$32*(A193+1)^가정!$B$33,0)</f>
        <v>155</v>
      </c>
      <c r="C193" s="47" t="n">
        <f aca="false">IF(B193&gt;=IFERROR(INDEX(가정!$B$42:$B$50,C192),1000000),C192+1,C192)</f>
        <v>6</v>
      </c>
      <c r="D193" s="25" t="n">
        <f aca="false">가정!$B$34^(C193-1)</f>
        <v>97.65625</v>
      </c>
      <c r="E193" s="25" t="n">
        <f aca="false">(B193/10)^가정!$B$36</f>
        <v>80.2658329823678</v>
      </c>
      <c r="F193" s="24" t="n">
        <f aca="false">IF(C193&gt;C192,(F192+E193)*가정!$B$35,F192+E193)</f>
        <v>2845.66139522076</v>
      </c>
      <c r="G193" s="25" t="n">
        <f aca="false">(1+F193*가정!$B$37)*D193</f>
        <v>5655.58866254055</v>
      </c>
      <c r="H193" s="25" t="n">
        <f aca="false">(1+F193*가정!$B$38)*D193^0.6</f>
        <v>682.576889504866</v>
      </c>
      <c r="I193" s="48" t="n">
        <f aca="false">가정!$B$5*가정!$B$7*가정!$B$6^(B193-1)/가정!$B$18</f>
        <v>1289639.03240493</v>
      </c>
      <c r="J193" s="48" t="n">
        <f aca="false">(가정!$B$12+가정!$B$15*(LOG(가정!$B$9*가정!$B$7*H193*가정!$B$10^B193/(가정!$B$10-1)*(가정!$B$14-1)/가정!$B$13)/LOG(가정!$B$14)))*G193</f>
        <v>2857661.37462083</v>
      </c>
      <c r="K193" s="49" t="n">
        <f aca="false">IFERROR(J193/I193,0)</f>
        <v>2.21586141766493</v>
      </c>
      <c r="L193" s="25" t="n">
        <f aca="false">A193/가정!$B$39</f>
        <v>64</v>
      </c>
      <c r="M193" s="26" t="str">
        <f aca="false">IF(K193&lt;1,"미달",IF(K193&gt;4,"과잉","적정"))</f>
        <v>적정</v>
      </c>
    </row>
    <row r="194" customFormat="false" ht="15" hidden="false" customHeight="true" outlineLevel="0" collapsed="false">
      <c r="A194" s="23" t="n">
        <v>193</v>
      </c>
      <c r="B194" s="23" t="n">
        <f aca="false">ROUND(가정!$B$32*(A194+1)^가정!$B$33,0)</f>
        <v>156</v>
      </c>
      <c r="C194" s="47" t="n">
        <f aca="false">IF(B194&gt;=IFERROR(INDEX(가정!$B$42:$B$50,C193),1000000),C193+1,C193)</f>
        <v>6</v>
      </c>
      <c r="D194" s="25" t="n">
        <f aca="false">가정!$B$34^(C194-1)</f>
        <v>97.65625</v>
      </c>
      <c r="E194" s="25" t="n">
        <f aca="false">(B194/10)^가정!$B$36</f>
        <v>81.0959857861989</v>
      </c>
      <c r="F194" s="24" t="n">
        <f aca="false">IF(C194&gt;C193,(F193+E194)*가정!$B$35,F193+E194)</f>
        <v>2926.75738100696</v>
      </c>
      <c r="G194" s="25" t="n">
        <f aca="false">(1+F194*가정!$B$37)*D194</f>
        <v>5813.97925977922</v>
      </c>
      <c r="H194" s="25" t="n">
        <f aca="false">(1+F194*가정!$B$38)*D194^0.6</f>
        <v>701.583761173506</v>
      </c>
      <c r="I194" s="48" t="n">
        <f aca="false">가정!$B$5*가정!$B$7*가정!$B$6^(B194-1)/가정!$B$18</f>
        <v>1405706.54532138</v>
      </c>
      <c r="J194" s="48" t="n">
        <f aca="false">(가정!$B$12+가정!$B$15*(LOG(가정!$B$9*가정!$B$7*H194*가정!$B$10^B194/(가정!$B$10-1)*(가정!$B$14-1)/가정!$B$13)/LOG(가정!$B$14)))*G194</f>
        <v>2953050.73685194</v>
      </c>
      <c r="K194" s="49" t="n">
        <f aca="false">IFERROR(J194/I194,0)</f>
        <v>2.10075904297423</v>
      </c>
      <c r="L194" s="25" t="n">
        <f aca="false">A194/가정!$B$39</f>
        <v>64.3333333333333</v>
      </c>
      <c r="M194" s="26" t="str">
        <f aca="false">IF(K194&lt;1,"미달",IF(K194&gt;4,"과잉","적정"))</f>
        <v>적정</v>
      </c>
    </row>
    <row r="195" customFormat="false" ht="15" hidden="false" customHeight="true" outlineLevel="0" collapsed="false">
      <c r="A195" s="23" t="n">
        <v>194</v>
      </c>
      <c r="B195" s="23" t="n">
        <f aca="false">ROUND(가정!$B$32*(A195+1)^가정!$B$33,0)</f>
        <v>156</v>
      </c>
      <c r="C195" s="47" t="n">
        <f aca="false">IF(B195&gt;=IFERROR(INDEX(가정!$B$42:$B$50,C194),1000000),C194+1,C194)</f>
        <v>6</v>
      </c>
      <c r="D195" s="25" t="n">
        <f aca="false">가정!$B$34^(C195-1)</f>
        <v>97.65625</v>
      </c>
      <c r="E195" s="25" t="n">
        <f aca="false">(B195/10)^가정!$B$36</f>
        <v>81.0959857861989</v>
      </c>
      <c r="F195" s="24" t="n">
        <f aca="false">IF(C195&gt;C194,(F194+E195)*가정!$B$35,F194+E195)</f>
        <v>3007.85336679316</v>
      </c>
      <c r="G195" s="25" t="n">
        <f aca="false">(1+F195*가정!$B$37)*D195</f>
        <v>5972.36985701789</v>
      </c>
      <c r="H195" s="25" t="n">
        <f aca="false">(1+F195*가정!$B$38)*D195^0.6</f>
        <v>720.590632842146</v>
      </c>
      <c r="I195" s="48" t="n">
        <f aca="false">가정!$B$5*가정!$B$7*가정!$B$6^(B195-1)/가정!$B$18</f>
        <v>1405706.54532138</v>
      </c>
      <c r="J195" s="48" t="n">
        <f aca="false">(가정!$B$12+가정!$B$15*(LOG(가정!$B$9*가정!$B$7*H195*가정!$B$10^B195/(가정!$B$10-1)*(가정!$B$14-1)/가정!$B$13)/LOG(가정!$B$14)))*G195</f>
        <v>3037727.00024956</v>
      </c>
      <c r="K195" s="49" t="n">
        <f aca="false">IFERROR(J195/I195,0)</f>
        <v>2.16099655391095</v>
      </c>
      <c r="L195" s="25" t="n">
        <f aca="false">A195/가정!$B$39</f>
        <v>64.6666666666667</v>
      </c>
      <c r="M195" s="26" t="str">
        <f aca="false">IF(K195&lt;1,"미달",IF(K195&gt;4,"과잉","적정"))</f>
        <v>적정</v>
      </c>
    </row>
    <row r="196" customFormat="false" ht="15" hidden="false" customHeight="true" outlineLevel="0" collapsed="false">
      <c r="A196" s="23" t="n">
        <v>195</v>
      </c>
      <c r="B196" s="23" t="n">
        <f aca="false">ROUND(가정!$B$32*(A196+1)^가정!$B$33,0)</f>
        <v>156</v>
      </c>
      <c r="C196" s="47" t="n">
        <f aca="false">IF(B196&gt;=IFERROR(INDEX(가정!$B$42:$B$50,C195),1000000),C195+1,C195)</f>
        <v>6</v>
      </c>
      <c r="D196" s="25" t="n">
        <f aca="false">가정!$B$34^(C196-1)</f>
        <v>97.65625</v>
      </c>
      <c r="E196" s="25" t="n">
        <f aca="false">(B196/10)^가정!$B$36</f>
        <v>81.0959857861989</v>
      </c>
      <c r="F196" s="24" t="n">
        <f aca="false">IF(C196&gt;C195,(F195+E196)*가정!$B$35,F195+E196)</f>
        <v>3088.94935257936</v>
      </c>
      <c r="G196" s="25" t="n">
        <f aca="false">(1+F196*가정!$B$37)*D196</f>
        <v>6130.76045425656</v>
      </c>
      <c r="H196" s="25" t="n">
        <f aca="false">(1+F196*가정!$B$38)*D196^0.6</f>
        <v>739.597504510787</v>
      </c>
      <c r="I196" s="48" t="n">
        <f aca="false">가정!$B$5*가정!$B$7*가정!$B$6^(B196-1)/가정!$B$18</f>
        <v>1405706.54532138</v>
      </c>
      <c r="J196" s="48" t="n">
        <f aca="false">(가정!$B$12+가정!$B$15*(LOG(가정!$B$9*가정!$B$7*H196*가정!$B$10^B196/(가정!$B$10-1)*(가정!$B$14-1)/가정!$B$13)/LOG(가정!$B$14)))*G196</f>
        <v>3122514.47052627</v>
      </c>
      <c r="K196" s="49" t="n">
        <f aca="false">IFERROR(J196/I196,0)</f>
        <v>2.221313175868</v>
      </c>
      <c r="L196" s="25" t="n">
        <f aca="false">A196/가정!$B$39</f>
        <v>65</v>
      </c>
      <c r="M196" s="26" t="str">
        <f aca="false">IF(K196&lt;1,"미달",IF(K196&gt;4,"과잉","적정"))</f>
        <v>적정</v>
      </c>
    </row>
    <row r="197" customFormat="false" ht="15" hidden="false" customHeight="true" outlineLevel="0" collapsed="false">
      <c r="A197" s="23" t="n">
        <v>196</v>
      </c>
      <c r="B197" s="23" t="n">
        <f aca="false">ROUND(가정!$B$32*(A197+1)^가정!$B$33,0)</f>
        <v>156</v>
      </c>
      <c r="C197" s="47" t="n">
        <f aca="false">IF(B197&gt;=IFERROR(INDEX(가정!$B$42:$B$50,C196),1000000),C196+1,C196)</f>
        <v>6</v>
      </c>
      <c r="D197" s="25" t="n">
        <f aca="false">가정!$B$34^(C197-1)</f>
        <v>97.65625</v>
      </c>
      <c r="E197" s="25" t="n">
        <f aca="false">(B197/10)^가정!$B$36</f>
        <v>81.0959857861989</v>
      </c>
      <c r="F197" s="24" t="n">
        <f aca="false">IF(C197&gt;C196,(F196+E197)*가정!$B$35,F196+E197)</f>
        <v>3170.04533836556</v>
      </c>
      <c r="G197" s="25" t="n">
        <f aca="false">(1+F197*가정!$B$37)*D197</f>
        <v>6289.15105149523</v>
      </c>
      <c r="H197" s="25" t="n">
        <f aca="false">(1+F197*가정!$B$38)*D197^0.6</f>
        <v>758.604376179427</v>
      </c>
      <c r="I197" s="48" t="n">
        <f aca="false">가정!$B$5*가정!$B$7*가정!$B$6^(B197-1)/가정!$B$18</f>
        <v>1405706.54532138</v>
      </c>
      <c r="J197" s="48" t="n">
        <f aca="false">(가정!$B$12+가정!$B$15*(LOG(가정!$B$9*가정!$B$7*H197*가정!$B$10^B197/(가정!$B$10-1)*(가정!$B$14-1)/가정!$B$13)/LOG(가정!$B$14)))*G197</f>
        <v>3207410.27412252</v>
      </c>
      <c r="K197" s="49" t="n">
        <f aca="false">IFERROR(J197/I197,0)</f>
        <v>2.28170686463527</v>
      </c>
      <c r="L197" s="25" t="n">
        <f aca="false">A197/가정!$B$39</f>
        <v>65.3333333333333</v>
      </c>
      <c r="M197" s="26" t="str">
        <f aca="false">IF(K197&lt;1,"미달",IF(K197&gt;4,"과잉","적정"))</f>
        <v>적정</v>
      </c>
    </row>
    <row r="198" customFormat="false" ht="15" hidden="false" customHeight="true" outlineLevel="0" collapsed="false">
      <c r="A198" s="23" t="n">
        <v>197</v>
      </c>
      <c r="B198" s="23" t="n">
        <f aca="false">ROUND(가정!$B$32*(A198+1)^가정!$B$33,0)</f>
        <v>156</v>
      </c>
      <c r="C198" s="47" t="n">
        <f aca="false">IF(B198&gt;=IFERROR(INDEX(가정!$B$42:$B$50,C197),1000000),C197+1,C197)</f>
        <v>6</v>
      </c>
      <c r="D198" s="25" t="n">
        <f aca="false">가정!$B$34^(C198-1)</f>
        <v>97.65625</v>
      </c>
      <c r="E198" s="25" t="n">
        <f aca="false">(B198/10)^가정!$B$36</f>
        <v>81.0959857861989</v>
      </c>
      <c r="F198" s="24" t="n">
        <f aca="false">IF(C198&gt;C197,(F197+E198)*가정!$B$35,F197+E198)</f>
        <v>3251.14132415176</v>
      </c>
      <c r="G198" s="25" t="n">
        <f aca="false">(1+F198*가정!$B$37)*D198</f>
        <v>6447.5416487339</v>
      </c>
      <c r="H198" s="25" t="n">
        <f aca="false">(1+F198*가정!$B$38)*D198^0.6</f>
        <v>777.611247848067</v>
      </c>
      <c r="I198" s="48" t="n">
        <f aca="false">가정!$B$5*가정!$B$7*가정!$B$6^(B198-1)/가정!$B$18</f>
        <v>1405706.54532138</v>
      </c>
      <c r="J198" s="48" t="n">
        <f aca="false">(가정!$B$12+가정!$B$15*(LOG(가정!$B$9*가정!$B$7*H198*가정!$B$10^B198/(가정!$B$10-1)*(가정!$B$14-1)/가정!$B$13)/LOG(가정!$B$14)))*G198</f>
        <v>3292411.68225388</v>
      </c>
      <c r="K198" s="49" t="n">
        <f aca="false">IFERROR(J198/I198,0)</f>
        <v>2.34217567899362</v>
      </c>
      <c r="L198" s="25" t="n">
        <f aca="false">A198/가정!$B$39</f>
        <v>65.6666666666667</v>
      </c>
      <c r="M198" s="26" t="str">
        <f aca="false">IF(K198&lt;1,"미달",IF(K198&gt;4,"과잉","적정"))</f>
        <v>적정</v>
      </c>
    </row>
    <row r="199" customFormat="false" ht="15" hidden="false" customHeight="true" outlineLevel="0" collapsed="false">
      <c r="A199" s="23" t="n">
        <v>198</v>
      </c>
      <c r="B199" s="23" t="n">
        <f aca="false">ROUND(가정!$B$32*(A199+1)^가정!$B$33,0)</f>
        <v>157</v>
      </c>
      <c r="C199" s="47" t="n">
        <f aca="false">IF(B199&gt;=IFERROR(INDEX(가정!$B$42:$B$50,C198),1000000),C198+1,C198)</f>
        <v>6</v>
      </c>
      <c r="D199" s="25" t="n">
        <f aca="false">가정!$B$34^(C199-1)</f>
        <v>97.65625</v>
      </c>
      <c r="E199" s="25" t="n">
        <f aca="false">(B199/10)^가정!$B$36</f>
        <v>81.9293376488584</v>
      </c>
      <c r="F199" s="24" t="n">
        <f aca="false">IF(C199&gt;C198,(F198+E199)*가정!$B$35,F198+E199)</f>
        <v>3333.07066180061</v>
      </c>
      <c r="G199" s="25" t="n">
        <f aca="false">(1+F199*가정!$B$37)*D199</f>
        <v>6607.55988632932</v>
      </c>
      <c r="H199" s="25" t="n">
        <f aca="false">(1+F199*가정!$B$38)*D199^0.6</f>
        <v>796.813436359519</v>
      </c>
      <c r="I199" s="48" t="n">
        <f aca="false">가정!$B$5*가정!$B$7*가정!$B$6^(B199-1)/가정!$B$18</f>
        <v>1532220.1344003</v>
      </c>
      <c r="J199" s="48" t="n">
        <f aca="false">(가정!$B$12+가정!$B$15*(LOG(가정!$B$9*가정!$B$7*H199*가정!$B$10^B199/(가정!$B$10-1)*(가정!$B$14-1)/가정!$B$13)/LOG(가정!$B$14)))*G199</f>
        <v>3391041.00544651</v>
      </c>
      <c r="K199" s="49" t="n">
        <f aca="false">IFERROR(J199/I199,0)</f>
        <v>2.2131552309706</v>
      </c>
      <c r="L199" s="25" t="n">
        <f aca="false">A199/가정!$B$39</f>
        <v>66</v>
      </c>
      <c r="M199" s="26" t="str">
        <f aca="false">IF(K199&lt;1,"미달",IF(K199&gt;4,"과잉","적정"))</f>
        <v>적정</v>
      </c>
    </row>
    <row r="200" customFormat="false" ht="15" hidden="false" customHeight="true" outlineLevel="0" collapsed="false">
      <c r="A200" s="23" t="n">
        <v>199</v>
      </c>
      <c r="B200" s="23" t="n">
        <f aca="false">ROUND(가정!$B$32*(A200+1)^가정!$B$33,0)</f>
        <v>157</v>
      </c>
      <c r="C200" s="47" t="n">
        <f aca="false">IF(B200&gt;=IFERROR(INDEX(가정!$B$42:$B$50,C199),1000000),C199+1,C199)</f>
        <v>6</v>
      </c>
      <c r="D200" s="25" t="n">
        <f aca="false">가정!$B$34^(C200-1)</f>
        <v>97.65625</v>
      </c>
      <c r="E200" s="25" t="n">
        <f aca="false">(B200/10)^가정!$B$36</f>
        <v>81.9293376488584</v>
      </c>
      <c r="F200" s="24" t="n">
        <f aca="false">IF(C200&gt;C199,(F199+E200)*가정!$B$35,F199+E200)</f>
        <v>3414.99999944947</v>
      </c>
      <c r="G200" s="25" t="n">
        <f aca="false">(1+F200*가정!$B$37)*D200</f>
        <v>6767.57812392475</v>
      </c>
      <c r="H200" s="25" t="n">
        <f aca="false">(1+F200*가정!$B$38)*D200^0.6</f>
        <v>816.01562487097</v>
      </c>
      <c r="I200" s="48" t="n">
        <f aca="false">가정!$B$5*가정!$B$7*가정!$B$6^(B200-1)/가정!$B$18</f>
        <v>1532220.1344003</v>
      </c>
      <c r="J200" s="48" t="n">
        <f aca="false">(가정!$B$12+가정!$B$15*(LOG(가정!$B$9*가정!$B$7*H200*가정!$B$10^B200/(가정!$B$10-1)*(가정!$B$14-1)/가정!$B$13)/LOG(가정!$B$14)))*G200</f>
        <v>3477429.43065349</v>
      </c>
      <c r="K200" s="49" t="n">
        <f aca="false">IFERROR(J200/I200,0)</f>
        <v>2.26953644099875</v>
      </c>
      <c r="L200" s="25" t="n">
        <f aca="false">A200/가정!$B$39</f>
        <v>66.3333333333333</v>
      </c>
      <c r="M200" s="26" t="str">
        <f aca="false">IF(K200&lt;1,"미달",IF(K200&gt;4,"과잉","적정"))</f>
        <v>적정</v>
      </c>
    </row>
    <row r="201" customFormat="false" ht="15" hidden="false" customHeight="true" outlineLevel="0" collapsed="false">
      <c r="A201" s="23" t="n">
        <v>200</v>
      </c>
      <c r="B201" s="23" t="n">
        <f aca="false">ROUND(가정!$B$32*(A201+1)^가정!$B$33,0)</f>
        <v>157</v>
      </c>
      <c r="C201" s="47" t="n">
        <f aca="false">IF(B201&gt;=IFERROR(INDEX(가정!$B$42:$B$50,C200),1000000),C200+1,C200)</f>
        <v>6</v>
      </c>
      <c r="D201" s="25" t="n">
        <f aca="false">가정!$B$34^(C201-1)</f>
        <v>97.65625</v>
      </c>
      <c r="E201" s="25" t="n">
        <f aca="false">(B201/10)^가정!$B$36</f>
        <v>81.9293376488584</v>
      </c>
      <c r="F201" s="24" t="n">
        <f aca="false">IF(C201&gt;C200,(F200+E201)*가정!$B$35,F200+E201)</f>
        <v>3496.92933709833</v>
      </c>
      <c r="G201" s="25" t="n">
        <f aca="false">(1+F201*가정!$B$37)*D201</f>
        <v>6927.59636152018</v>
      </c>
      <c r="H201" s="25" t="n">
        <f aca="false">(1+F201*가정!$B$38)*D201^0.6</f>
        <v>835.217813382421</v>
      </c>
      <c r="I201" s="48" t="n">
        <f aca="false">가정!$B$5*가정!$B$7*가정!$B$6^(B201-1)/가정!$B$18</f>
        <v>1532220.1344003</v>
      </c>
      <c r="J201" s="48" t="n">
        <f aca="false">(가정!$B$12+가정!$B$15*(LOG(가정!$B$9*가정!$B$7*H201*가정!$B$10^B201/(가정!$B$10-1)*(가정!$B$14-1)/가정!$B$13)/LOG(가정!$B$14)))*G201</f>
        <v>3563918.02123284</v>
      </c>
      <c r="K201" s="49" t="n">
        <f aca="false">IFERROR(J201/I201,0)</f>
        <v>2.32598302373028</v>
      </c>
      <c r="L201" s="25" t="n">
        <f aca="false">A201/가정!$B$39</f>
        <v>66.6666666666667</v>
      </c>
      <c r="M201" s="26" t="str">
        <f aca="false">IF(K201&lt;1,"미달",IF(K201&gt;4,"과잉","적정"))</f>
        <v>적정</v>
      </c>
    </row>
    <row r="202" customFormat="false" ht="15" hidden="false" customHeight="true" outlineLevel="0" collapsed="false">
      <c r="A202" s="23" t="n">
        <v>201</v>
      </c>
      <c r="B202" s="23" t="n">
        <f aca="false">ROUND(가정!$B$32*(A202+1)^가정!$B$33,0)</f>
        <v>157</v>
      </c>
      <c r="C202" s="47" t="n">
        <f aca="false">IF(B202&gt;=IFERROR(INDEX(가정!$B$42:$B$50,C201),1000000),C201+1,C201)</f>
        <v>6</v>
      </c>
      <c r="D202" s="25" t="n">
        <f aca="false">가정!$B$34^(C202-1)</f>
        <v>97.65625</v>
      </c>
      <c r="E202" s="25" t="n">
        <f aca="false">(B202/10)^가정!$B$36</f>
        <v>81.9293376488584</v>
      </c>
      <c r="F202" s="24" t="n">
        <f aca="false">IF(C202&gt;C201,(F201+E202)*가정!$B$35,F201+E202)</f>
        <v>3578.85867474719</v>
      </c>
      <c r="G202" s="25" t="n">
        <f aca="false">(1+F202*가정!$B$37)*D202</f>
        <v>7087.6145991156</v>
      </c>
      <c r="H202" s="25" t="n">
        <f aca="false">(1+F202*가정!$B$38)*D202^0.6</f>
        <v>854.420001893872</v>
      </c>
      <c r="I202" s="48" t="n">
        <f aca="false">가정!$B$5*가정!$B$7*가정!$B$6^(B202-1)/가정!$B$18</f>
        <v>1532220.1344003</v>
      </c>
      <c r="J202" s="48" t="n">
        <f aca="false">(가정!$B$12+가정!$B$15*(LOG(가정!$B$9*가정!$B$7*H202*가정!$B$10^B202/(가정!$B$10-1)*(가정!$B$14-1)/가정!$B$13)/LOG(가정!$B$14)))*G202</f>
        <v>3650504.46318353</v>
      </c>
      <c r="K202" s="49" t="n">
        <f aca="false">IFERROR(J202/I202,0)</f>
        <v>2.38249346893768</v>
      </c>
      <c r="L202" s="25" t="n">
        <f aca="false">A202/가정!$B$39</f>
        <v>67</v>
      </c>
      <c r="M202" s="26" t="str">
        <f aca="false">IF(K202&lt;1,"미달",IF(K202&gt;4,"과잉","적정"))</f>
        <v>적정</v>
      </c>
    </row>
    <row r="203" customFormat="false" ht="15" hidden="false" customHeight="true" outlineLevel="0" collapsed="false">
      <c r="A203" s="23" t="n">
        <v>202</v>
      </c>
      <c r="B203" s="23" t="n">
        <f aca="false">ROUND(가정!$B$32*(A203+1)^가정!$B$33,0)</f>
        <v>157</v>
      </c>
      <c r="C203" s="47" t="n">
        <f aca="false">IF(B203&gt;=IFERROR(INDEX(가정!$B$42:$B$50,C202),1000000),C202+1,C202)</f>
        <v>6</v>
      </c>
      <c r="D203" s="25" t="n">
        <f aca="false">가정!$B$34^(C203-1)</f>
        <v>97.65625</v>
      </c>
      <c r="E203" s="25" t="n">
        <f aca="false">(B203/10)^가정!$B$36</f>
        <v>81.9293376488584</v>
      </c>
      <c r="F203" s="24" t="n">
        <f aca="false">IF(C203&gt;C202,(F202+E203)*가정!$B$35,F202+E203)</f>
        <v>3660.78801239605</v>
      </c>
      <c r="G203" s="25" t="n">
        <f aca="false">(1+F203*가정!$B$37)*D203</f>
        <v>7247.63283671103</v>
      </c>
      <c r="H203" s="25" t="n">
        <f aca="false">(1+F203*가정!$B$38)*D203^0.6</f>
        <v>873.622190405324</v>
      </c>
      <c r="I203" s="48" t="n">
        <f aca="false">가정!$B$5*가정!$B$7*가정!$B$6^(B203-1)/가정!$B$18</f>
        <v>1532220.1344003</v>
      </c>
      <c r="J203" s="48" t="n">
        <f aca="false">(가정!$B$12+가정!$B$15*(LOG(가정!$B$9*가정!$B$7*H203*가정!$B$10^B203/(가정!$B$10-1)*(가정!$B$14-1)/가정!$B$13)/LOG(가정!$B$14)))*G203</f>
        <v>3737186.54701235</v>
      </c>
      <c r="K203" s="49" t="n">
        <f aca="false">IFERROR(J203/I203,0)</f>
        <v>2.43906633460018</v>
      </c>
      <c r="L203" s="25" t="n">
        <f aca="false">A203/가정!$B$39</f>
        <v>67.3333333333333</v>
      </c>
      <c r="M203" s="26" t="str">
        <f aca="false">IF(K203&lt;1,"미달",IF(K203&gt;4,"과잉","적정"))</f>
        <v>적정</v>
      </c>
    </row>
    <row r="204" customFormat="false" ht="15" hidden="false" customHeight="true" outlineLevel="0" collapsed="false">
      <c r="A204" s="23" t="n">
        <v>203</v>
      </c>
      <c r="B204" s="23" t="n">
        <f aca="false">ROUND(가정!$B$32*(A204+1)^가정!$B$33,0)</f>
        <v>158</v>
      </c>
      <c r="C204" s="47" t="n">
        <f aca="false">IF(B204&gt;=IFERROR(INDEX(가정!$B$42:$B$50,C203),1000000),C203+1,C203)</f>
        <v>6</v>
      </c>
      <c r="D204" s="25" t="n">
        <f aca="false">가정!$B$34^(C204-1)</f>
        <v>97.65625</v>
      </c>
      <c r="E204" s="25" t="n">
        <f aca="false">(B204/10)^가정!$B$36</f>
        <v>82.7658804041728</v>
      </c>
      <c r="F204" s="24" t="n">
        <f aca="false">IF(C204&gt;C203,(F203+E204)*가정!$B$35,F203+E204)</f>
        <v>3743.55389280022</v>
      </c>
      <c r="G204" s="25" t="n">
        <f aca="false">(1+F204*가정!$B$37)*D204</f>
        <v>7409.28494687543</v>
      </c>
      <c r="H204" s="25" t="n">
        <f aca="false">(1+F204*가정!$B$38)*D204^0.6</f>
        <v>893.020443625052</v>
      </c>
      <c r="I204" s="48" t="n">
        <f aca="false">가정!$B$5*가정!$B$7*가정!$B$6^(B204-1)/가정!$B$18</f>
        <v>1670119.94649633</v>
      </c>
      <c r="J204" s="48" t="n">
        <f aca="false">(가정!$B$12+가정!$B$15*(LOG(가정!$B$9*가정!$B$7*H204*가정!$B$10^B204/(가정!$B$10-1)*(가정!$B$14-1)/가정!$B$13)/LOG(가정!$B$14)))*G204</f>
        <v>3839033.35990072</v>
      </c>
      <c r="K204" s="49" t="n">
        <f aca="false">IFERROR(J204/I204,0)</f>
        <v>2.29865727186509</v>
      </c>
      <c r="L204" s="25" t="n">
        <f aca="false">A204/가정!$B$39</f>
        <v>67.6666666666667</v>
      </c>
      <c r="M204" s="26" t="str">
        <f aca="false">IF(K204&lt;1,"미달",IF(K204&gt;4,"과잉","적정"))</f>
        <v>적정</v>
      </c>
    </row>
    <row r="205" customFormat="false" ht="15" hidden="false" customHeight="true" outlineLevel="0" collapsed="false">
      <c r="A205" s="23" t="n">
        <v>204</v>
      </c>
      <c r="B205" s="23" t="n">
        <f aca="false">ROUND(가정!$B$32*(A205+1)^가정!$B$33,0)</f>
        <v>158</v>
      </c>
      <c r="C205" s="47" t="n">
        <f aca="false">IF(B205&gt;=IFERROR(INDEX(가정!$B$42:$B$50,C204),1000000),C204+1,C204)</f>
        <v>6</v>
      </c>
      <c r="D205" s="25" t="n">
        <f aca="false">가정!$B$34^(C205-1)</f>
        <v>97.65625</v>
      </c>
      <c r="E205" s="25" t="n">
        <f aca="false">(B205/10)^가정!$B$36</f>
        <v>82.7658804041728</v>
      </c>
      <c r="F205" s="24" t="n">
        <f aca="false">IF(C205&gt;C204,(F204+E205)*가정!$B$35,F204+E205)</f>
        <v>3826.31977320439</v>
      </c>
      <c r="G205" s="25" t="n">
        <f aca="false">(1+F205*가정!$B$37)*D205</f>
        <v>7570.93705703983</v>
      </c>
      <c r="H205" s="25" t="n">
        <f aca="false">(1+F205*가정!$B$38)*D205^0.6</f>
        <v>912.41869684478</v>
      </c>
      <c r="I205" s="48" t="n">
        <f aca="false">가정!$B$5*가정!$B$7*가정!$B$6^(B205-1)/가정!$B$18</f>
        <v>1670119.94649633</v>
      </c>
      <c r="J205" s="48" t="n">
        <f aca="false">(가정!$B$12+가정!$B$15*(LOG(가정!$B$9*가정!$B$7*H205*가정!$B$10^B205/(가정!$B$10-1)*(가정!$B$14-1)/가정!$B$13)/LOG(가정!$B$14)))*G205</f>
        <v>3927098.31670756</v>
      </c>
      <c r="K205" s="49" t="n">
        <f aca="false">IFERROR(J205/I205,0)</f>
        <v>2.35138699166251</v>
      </c>
      <c r="L205" s="25" t="n">
        <f aca="false">A205/가정!$B$39</f>
        <v>68</v>
      </c>
      <c r="M205" s="26" t="str">
        <f aca="false">IF(K205&lt;1,"미달",IF(K205&gt;4,"과잉","적정"))</f>
        <v>적정</v>
      </c>
    </row>
    <row r="206" customFormat="false" ht="15" hidden="false" customHeight="true" outlineLevel="0" collapsed="false">
      <c r="A206" s="23" t="n">
        <v>205</v>
      </c>
      <c r="B206" s="23" t="n">
        <f aca="false">ROUND(가정!$B$32*(A206+1)^가정!$B$33,0)</f>
        <v>158</v>
      </c>
      <c r="C206" s="47" t="n">
        <f aca="false">IF(B206&gt;=IFERROR(INDEX(가정!$B$42:$B$50,C205),1000000),C205+1,C205)</f>
        <v>6</v>
      </c>
      <c r="D206" s="25" t="n">
        <f aca="false">가정!$B$34^(C206-1)</f>
        <v>97.65625</v>
      </c>
      <c r="E206" s="25" t="n">
        <f aca="false">(B206/10)^가정!$B$36</f>
        <v>82.7658804041728</v>
      </c>
      <c r="F206" s="24" t="n">
        <f aca="false">IF(C206&gt;C205,(F205+E206)*가정!$B$35,F205+E206)</f>
        <v>3909.08565360857</v>
      </c>
      <c r="G206" s="25" t="n">
        <f aca="false">(1+F206*가정!$B$37)*D206</f>
        <v>7732.58916720423</v>
      </c>
      <c r="H206" s="25" t="n">
        <f aca="false">(1+F206*가정!$B$38)*D206^0.6</f>
        <v>931.816950064508</v>
      </c>
      <c r="I206" s="48" t="n">
        <f aca="false">가정!$B$5*가정!$B$7*가정!$B$6^(B206-1)/가정!$B$18</f>
        <v>1670119.94649633</v>
      </c>
      <c r="J206" s="48" t="n">
        <f aca="false">(가정!$B$12+가정!$B$15*(LOG(가정!$B$9*가정!$B$7*H206*가정!$B$10^B206/(가정!$B$10-1)*(가정!$B$14-1)/가정!$B$13)/LOG(가정!$B$14)))*G206</f>
        <v>4015254.64686808</v>
      </c>
      <c r="K206" s="49" t="n">
        <f aca="false">IFERROR(J206/I206,0)</f>
        <v>2.40417142211342</v>
      </c>
      <c r="L206" s="25" t="n">
        <f aca="false">A206/가정!$B$39</f>
        <v>68.3333333333333</v>
      </c>
      <c r="M206" s="26" t="str">
        <f aca="false">IF(K206&lt;1,"미달",IF(K206&gt;4,"과잉","적정"))</f>
        <v>적정</v>
      </c>
    </row>
    <row r="207" customFormat="false" ht="15" hidden="false" customHeight="true" outlineLevel="0" collapsed="false">
      <c r="A207" s="23" t="n">
        <v>206</v>
      </c>
      <c r="B207" s="23" t="n">
        <f aca="false">ROUND(가정!$B$32*(A207+1)^가정!$B$33,0)</f>
        <v>158</v>
      </c>
      <c r="C207" s="47" t="n">
        <f aca="false">IF(B207&gt;=IFERROR(INDEX(가정!$B$42:$B$50,C206),1000000),C206+1,C206)</f>
        <v>6</v>
      </c>
      <c r="D207" s="25" t="n">
        <f aca="false">가정!$B$34^(C207-1)</f>
        <v>97.65625</v>
      </c>
      <c r="E207" s="25" t="n">
        <f aca="false">(B207/10)^가정!$B$36</f>
        <v>82.7658804041728</v>
      </c>
      <c r="F207" s="24" t="n">
        <f aca="false">IF(C207&gt;C206,(F206+E207)*가정!$B$35,F206+E207)</f>
        <v>3991.85153401274</v>
      </c>
      <c r="G207" s="25" t="n">
        <f aca="false">(1+F207*가정!$B$37)*D207</f>
        <v>7894.24127736863</v>
      </c>
      <c r="H207" s="25" t="n">
        <f aca="false">(1+F207*가정!$B$38)*D207^0.6</f>
        <v>951.215203284236</v>
      </c>
      <c r="I207" s="48" t="n">
        <f aca="false">가정!$B$5*가정!$B$7*가정!$B$6^(B207-1)/가정!$B$18</f>
        <v>1670119.94649633</v>
      </c>
      <c r="J207" s="48" t="n">
        <f aca="false">(가정!$B$12+가정!$B$15*(LOG(가정!$B$9*가정!$B$7*H207*가정!$B$10^B207/(가정!$B$10-1)*(가정!$B$14-1)/가정!$B$13)/LOG(가정!$B$14)))*G207</f>
        <v>4103500.43998102</v>
      </c>
      <c r="K207" s="49" t="n">
        <f aca="false">IFERROR(J207/I207,0)</f>
        <v>2.45700941934714</v>
      </c>
      <c r="L207" s="25" t="n">
        <f aca="false">A207/가정!$B$39</f>
        <v>68.6666666666667</v>
      </c>
      <c r="M207" s="26" t="str">
        <f aca="false">IF(K207&lt;1,"미달",IF(K207&gt;4,"과잉","적정"))</f>
        <v>적정</v>
      </c>
    </row>
    <row r="208" customFormat="false" ht="15" hidden="false" customHeight="true" outlineLevel="0" collapsed="false">
      <c r="A208" s="23" t="n">
        <v>207</v>
      </c>
      <c r="B208" s="23" t="n">
        <f aca="false">ROUND(가정!$B$32*(A208+1)^가정!$B$33,0)</f>
        <v>158</v>
      </c>
      <c r="C208" s="47" t="n">
        <f aca="false">IF(B208&gt;=IFERROR(INDEX(가정!$B$42:$B$50,C207),1000000),C207+1,C207)</f>
        <v>6</v>
      </c>
      <c r="D208" s="25" t="n">
        <f aca="false">가정!$B$34^(C208-1)</f>
        <v>97.65625</v>
      </c>
      <c r="E208" s="25" t="n">
        <f aca="false">(B208/10)^가정!$B$36</f>
        <v>82.7658804041728</v>
      </c>
      <c r="F208" s="24" t="n">
        <f aca="false">IF(C208&gt;C207,(F207+E208)*가정!$B$35,F207+E208)</f>
        <v>4074.61741441691</v>
      </c>
      <c r="G208" s="25" t="n">
        <f aca="false">(1+F208*가정!$B$37)*D208</f>
        <v>8055.89338753303</v>
      </c>
      <c r="H208" s="25" t="n">
        <f aca="false">(1+F208*가정!$B$38)*D208^0.6</f>
        <v>970.613456503964</v>
      </c>
      <c r="I208" s="48" t="n">
        <f aca="false">가정!$B$5*가정!$B$7*가정!$B$6^(B208-1)/가정!$B$18</f>
        <v>1670119.94649633</v>
      </c>
      <c r="J208" s="48" t="n">
        <f aca="false">(가정!$B$12+가정!$B$15*(LOG(가정!$B$9*가정!$B$7*H208*가정!$B$10^B208/(가정!$B$10-1)*(가정!$B$14-1)/가정!$B$13)/LOG(가정!$B$14)))*G208</f>
        <v>4191833.8638973</v>
      </c>
      <c r="K208" s="49" t="n">
        <f aca="false">IFERROR(J208/I208,0)</f>
        <v>2.50989988634718</v>
      </c>
      <c r="L208" s="25" t="n">
        <f aca="false">A208/가정!$B$39</f>
        <v>69</v>
      </c>
      <c r="M208" s="26" t="str">
        <f aca="false">IF(K208&lt;1,"미달",IF(K208&gt;4,"과잉","적정"))</f>
        <v>적정</v>
      </c>
    </row>
    <row r="209" customFormat="false" ht="15" hidden="false" customHeight="true" outlineLevel="0" collapsed="false">
      <c r="A209" s="23" t="n">
        <v>208</v>
      </c>
      <c r="B209" s="23" t="n">
        <f aca="false">ROUND(가정!$B$32*(A209+1)^가정!$B$33,0)</f>
        <v>159</v>
      </c>
      <c r="C209" s="47" t="n">
        <f aca="false">IF(B209&gt;=IFERROR(INDEX(가정!$B$42:$B$50,C208),1000000),C208+1,C208)</f>
        <v>6</v>
      </c>
      <c r="D209" s="25" t="n">
        <f aca="false">가정!$B$34^(C209-1)</f>
        <v>97.65625</v>
      </c>
      <c r="E209" s="25" t="n">
        <f aca="false">(B209/10)^가정!$B$36</f>
        <v>83.6056059584666</v>
      </c>
      <c r="F209" s="24" t="n">
        <f aca="false">IF(C209&gt;C208,(F208+E209)*가정!$B$35,F208+E209)</f>
        <v>4158.22302037538</v>
      </c>
      <c r="G209" s="25" t="n">
        <f aca="false">(1+F209*가정!$B$37)*D209</f>
        <v>8219.18558667066</v>
      </c>
      <c r="H209" s="25" t="n">
        <f aca="false">(1+F209*가정!$B$38)*D209^0.6</f>
        <v>990.208520400479</v>
      </c>
      <c r="I209" s="48" t="n">
        <f aca="false">가정!$B$5*가정!$B$7*가정!$B$6^(B209-1)/가정!$B$18</f>
        <v>1820430.741681</v>
      </c>
      <c r="J209" s="48" t="n">
        <f aca="false">(가정!$B$12+가정!$B$15*(LOG(가정!$B$9*가정!$B$7*H209*가정!$B$10^B209/(가정!$B$10-1)*(가정!$B$14-1)/가정!$B$13)/LOG(가정!$B$14)))*G209</f>
        <v>4296885.88950762</v>
      </c>
      <c r="K209" s="49" t="n">
        <f aca="false">IFERROR(J209/I209,0)</f>
        <v>2.3603676817388</v>
      </c>
      <c r="L209" s="25" t="n">
        <f aca="false">A209/가정!$B$39</f>
        <v>69.3333333333333</v>
      </c>
      <c r="M209" s="26" t="str">
        <f aca="false">IF(K209&lt;1,"미달",IF(K209&gt;4,"과잉","적정"))</f>
        <v>적정</v>
      </c>
    </row>
    <row r="210" customFormat="false" ht="15" hidden="false" customHeight="true" outlineLevel="0" collapsed="false">
      <c r="A210" s="23" t="n">
        <v>209</v>
      </c>
      <c r="B210" s="23" t="n">
        <f aca="false">ROUND(가정!$B$32*(A210+1)^가정!$B$33,0)</f>
        <v>159</v>
      </c>
      <c r="C210" s="47" t="n">
        <f aca="false">IF(B210&gt;=IFERROR(INDEX(가정!$B$42:$B$50,C209),1000000),C209+1,C209)</f>
        <v>6</v>
      </c>
      <c r="D210" s="25" t="n">
        <f aca="false">가정!$B$34^(C210-1)</f>
        <v>97.65625</v>
      </c>
      <c r="E210" s="25" t="n">
        <f aca="false">(B210/10)^가정!$B$36</f>
        <v>83.6056059584666</v>
      </c>
      <c r="F210" s="24" t="n">
        <f aca="false">IF(C210&gt;C209,(F209+E210)*가정!$B$35,F209+E210)</f>
        <v>4241.82862633385</v>
      </c>
      <c r="G210" s="25" t="n">
        <f aca="false">(1+F210*가정!$B$37)*D210</f>
        <v>8382.47778580829</v>
      </c>
      <c r="H210" s="25" t="n">
        <f aca="false">(1+F210*가정!$B$38)*D210^0.6</f>
        <v>1009.80358429699</v>
      </c>
      <c r="I210" s="48" t="n">
        <f aca="false">가정!$B$5*가정!$B$7*가정!$B$6^(B210-1)/가정!$B$18</f>
        <v>1820430.741681</v>
      </c>
      <c r="J210" s="48" t="n">
        <f aca="false">(가정!$B$12+가정!$B$15*(LOG(가정!$B$9*가정!$B$7*H210*가정!$B$10^B210/(가정!$B$10-1)*(가정!$B$14-1)/가정!$B$13)/LOG(가정!$B$14)))*G210</f>
        <v>4386601.20095229</v>
      </c>
      <c r="K210" s="49" t="n">
        <f aca="false">IFERROR(J210/I210,0)</f>
        <v>2.40965014516382</v>
      </c>
      <c r="L210" s="25" t="n">
        <f aca="false">A210/가정!$B$39</f>
        <v>69.6666666666667</v>
      </c>
      <c r="M210" s="26" t="str">
        <f aca="false">IF(K210&lt;1,"미달",IF(K210&gt;4,"과잉","적정"))</f>
        <v>적정</v>
      </c>
    </row>
    <row r="211" customFormat="false" ht="15" hidden="false" customHeight="true" outlineLevel="0" collapsed="false">
      <c r="A211" s="27" t="n">
        <v>210</v>
      </c>
      <c r="B211" s="27" t="n">
        <f aca="false">ROUND(가정!$B$32*(A211+1)^가정!$B$33,0)</f>
        <v>159</v>
      </c>
      <c r="C211" s="50" t="n">
        <f aca="false">IF(B211&gt;=IFERROR(INDEX(가정!$B$42:$B$50,C210),1000000),C210+1,C210)</f>
        <v>6</v>
      </c>
      <c r="D211" s="29" t="n">
        <f aca="false">가정!$B$34^(C211-1)</f>
        <v>97.65625</v>
      </c>
      <c r="E211" s="29" t="n">
        <f aca="false">(B211/10)^가정!$B$36</f>
        <v>83.6056059584666</v>
      </c>
      <c r="F211" s="28" t="n">
        <f aca="false">IF(C211&gt;C210,(F210+E211)*가정!$B$35,F210+E211)</f>
        <v>4325.43423229231</v>
      </c>
      <c r="G211" s="29" t="n">
        <f aca="false">(1+F211*가정!$B$37)*D211</f>
        <v>8545.76998494592</v>
      </c>
      <c r="H211" s="29" t="n">
        <f aca="false">(1+F211*가정!$B$38)*D211^0.6</f>
        <v>1029.39864819351</v>
      </c>
      <c r="I211" s="51" t="n">
        <f aca="false">가정!$B$5*가정!$B$7*가정!$B$6^(B211-1)/가정!$B$18</f>
        <v>1820430.741681</v>
      </c>
      <c r="J211" s="51" t="n">
        <f aca="false">(가정!$B$12+가정!$B$15*(LOG(가정!$B$9*가정!$B$7*H211*가정!$B$10^B211/(가정!$B$10-1)*(가정!$B$14-1)/가정!$B$13)/LOG(가정!$B$14)))*G211</f>
        <v>4476400.72184849</v>
      </c>
      <c r="K211" s="52" t="n">
        <f aca="false">IFERROR(J211/I211,0)</f>
        <v>2.45897886657031</v>
      </c>
      <c r="L211" s="29" t="n">
        <f aca="false">A211/가정!$B$39</f>
        <v>70</v>
      </c>
      <c r="M211" s="30" t="str">
        <f aca="false">IF(K211&lt;1,"미달",IF(K211&gt;4,"과잉","적정"))</f>
        <v>적정</v>
      </c>
    </row>
    <row r="212" customFormat="false" ht="15" hidden="false" customHeight="true" outlineLevel="0" collapsed="false">
      <c r="A212" s="23" t="n">
        <v>211</v>
      </c>
      <c r="B212" s="23" t="n">
        <f aca="false">ROUND(가정!$B$32*(A212+1)^가정!$B$33,0)</f>
        <v>159</v>
      </c>
      <c r="C212" s="47" t="n">
        <f aca="false">IF(B212&gt;=IFERROR(INDEX(가정!$B$42:$B$50,C211),1000000),C211+1,C211)</f>
        <v>6</v>
      </c>
      <c r="D212" s="25" t="n">
        <f aca="false">가정!$B$34^(C212-1)</f>
        <v>97.65625</v>
      </c>
      <c r="E212" s="25" t="n">
        <f aca="false">(B212/10)^가정!$B$36</f>
        <v>83.6056059584666</v>
      </c>
      <c r="F212" s="24" t="n">
        <f aca="false">IF(C212&gt;C211,(F211+E212)*가정!$B$35,F211+E212)</f>
        <v>4409.03983825078</v>
      </c>
      <c r="G212" s="25" t="n">
        <f aca="false">(1+F212*가정!$B$37)*D212</f>
        <v>8709.06218408355</v>
      </c>
      <c r="H212" s="25" t="n">
        <f aca="false">(1+F212*가정!$B$38)*D212^0.6</f>
        <v>1048.99371209003</v>
      </c>
      <c r="I212" s="48" t="n">
        <f aca="false">가정!$B$5*가정!$B$7*가정!$B$6^(B212-1)/가정!$B$18</f>
        <v>1820430.741681</v>
      </c>
      <c r="J212" s="48" t="n">
        <f aca="false">(가정!$B$12+가정!$B$15*(LOG(가정!$B$9*가정!$B$7*H212*가정!$B$10^B212/(가정!$B$10-1)*(가정!$B$14-1)/가정!$B$13)/LOG(가정!$B$14)))*G212</f>
        <v>4566282.84297453</v>
      </c>
      <c r="K212" s="49" t="n">
        <f aca="false">IFERROR(J212/I212,0)</f>
        <v>2.50835296197975</v>
      </c>
      <c r="L212" s="25" t="n">
        <f aca="false">A212/가정!$B$39</f>
        <v>70.3333333333333</v>
      </c>
      <c r="M212" s="26" t="str">
        <f aca="false">IF(K212&lt;1,"미달",IF(K212&gt;4,"과잉","적정"))</f>
        <v>적정</v>
      </c>
    </row>
    <row r="213" customFormat="false" ht="15" hidden="false" customHeight="true" outlineLevel="0" collapsed="false">
      <c r="A213" s="23" t="n">
        <v>212</v>
      </c>
      <c r="B213" s="23" t="n">
        <f aca="false">ROUND(가정!$B$32*(A213+1)^가정!$B$33,0)</f>
        <v>159</v>
      </c>
      <c r="C213" s="47" t="n">
        <f aca="false">IF(B213&gt;=IFERROR(INDEX(가정!$B$42:$B$50,C212),1000000),C212+1,C212)</f>
        <v>6</v>
      </c>
      <c r="D213" s="25" t="n">
        <f aca="false">가정!$B$34^(C213-1)</f>
        <v>97.65625</v>
      </c>
      <c r="E213" s="25" t="n">
        <f aca="false">(B213/10)^가정!$B$36</f>
        <v>83.6056059584666</v>
      </c>
      <c r="F213" s="24" t="n">
        <f aca="false">IF(C213&gt;C212,(F212+E213)*가정!$B$35,F212+E213)</f>
        <v>4492.64544420924</v>
      </c>
      <c r="G213" s="25" t="n">
        <f aca="false">(1+F213*가정!$B$37)*D213</f>
        <v>8872.35438322118</v>
      </c>
      <c r="H213" s="25" t="n">
        <f aca="false">(1+F213*가정!$B$38)*D213^0.6</f>
        <v>1068.58877598654</v>
      </c>
      <c r="I213" s="48" t="n">
        <f aca="false">가정!$B$5*가정!$B$7*가정!$B$6^(B213-1)/가정!$B$18</f>
        <v>1820430.741681</v>
      </c>
      <c r="J213" s="48" t="n">
        <f aca="false">(가정!$B$12+가정!$B$15*(LOG(가정!$B$9*가정!$B$7*H213*가정!$B$10^B213/(가정!$B$10-1)*(가정!$B$14-1)/가정!$B$13)/LOG(가정!$B$14)))*G213</f>
        <v>4656246.01546186</v>
      </c>
      <c r="K213" s="49" t="n">
        <f aca="false">IFERROR(J213/I213,0)</f>
        <v>2.55777158056683</v>
      </c>
      <c r="L213" s="25" t="n">
        <f aca="false">A213/가정!$B$39</f>
        <v>70.6666666666667</v>
      </c>
      <c r="M213" s="26" t="str">
        <f aca="false">IF(K213&lt;1,"미달",IF(K213&gt;4,"과잉","적정"))</f>
        <v>적정</v>
      </c>
    </row>
    <row r="214" customFormat="false" ht="15" hidden="false" customHeight="true" outlineLevel="0" collapsed="false">
      <c r="A214" s="23" t="n">
        <v>213</v>
      </c>
      <c r="B214" s="23" t="n">
        <f aca="false">ROUND(가정!$B$32*(A214+1)^가정!$B$33,0)</f>
        <v>160</v>
      </c>
      <c r="C214" s="47" t="n">
        <f aca="false">IF(B214&gt;=IFERROR(INDEX(가정!$B$42:$B$50,C213),1000000),C213+1,C213)</f>
        <v>6</v>
      </c>
      <c r="D214" s="25" t="n">
        <f aca="false">가정!$B$34^(C214-1)</f>
        <v>97.65625</v>
      </c>
      <c r="E214" s="25" t="n">
        <f aca="false">(B214/10)^가정!$B$36</f>
        <v>84.4485062894653</v>
      </c>
      <c r="F214" s="24" t="n">
        <f aca="false">IF(C214&gt;C213,(F213+E214)*가정!$B$35,F213+E214)</f>
        <v>4577.09395049871</v>
      </c>
      <c r="G214" s="25" t="n">
        <f aca="false">(1+F214*가정!$B$37)*D214</f>
        <v>9037.29287206779</v>
      </c>
      <c r="H214" s="25" t="n">
        <f aca="false">(1+F214*가정!$B$38)*D214^0.6</f>
        <v>1088.38139464813</v>
      </c>
      <c r="I214" s="48" t="n">
        <f aca="false">가정!$B$5*가정!$B$7*가정!$B$6^(B214-1)/가정!$B$18</f>
        <v>1984269.50843229</v>
      </c>
      <c r="J214" s="48" t="n">
        <f aca="false">(가정!$B$12+가정!$B$15*(LOG(가정!$B$9*가정!$B$7*H214*가정!$B$10^B214/(가정!$B$10-1)*(가정!$B$14-1)/가정!$B$13)/LOG(가정!$B$14)))*G214</f>
        <v>4764498.38218982</v>
      </c>
      <c r="K214" s="49" t="n">
        <f aca="false">IFERROR(J214/I214,0)</f>
        <v>2.4011347057155</v>
      </c>
      <c r="L214" s="25" t="n">
        <f aca="false">A214/가정!$B$39</f>
        <v>71</v>
      </c>
      <c r="M214" s="26" t="str">
        <f aca="false">IF(K214&lt;1,"미달",IF(K214&gt;4,"과잉","적정"))</f>
        <v>적정</v>
      </c>
    </row>
    <row r="215" customFormat="false" ht="15" hidden="false" customHeight="true" outlineLevel="0" collapsed="false">
      <c r="A215" s="23" t="n">
        <v>214</v>
      </c>
      <c r="B215" s="23" t="n">
        <f aca="false">ROUND(가정!$B$32*(A215+1)^가정!$B$33,0)</f>
        <v>160</v>
      </c>
      <c r="C215" s="47" t="n">
        <f aca="false">IF(B215&gt;=IFERROR(INDEX(가정!$B$42:$B$50,C214),1000000),C214+1,C214)</f>
        <v>6</v>
      </c>
      <c r="D215" s="25" t="n">
        <f aca="false">가정!$B$34^(C215-1)</f>
        <v>97.65625</v>
      </c>
      <c r="E215" s="25" t="n">
        <f aca="false">(B215/10)^가정!$B$36</f>
        <v>84.4485062894653</v>
      </c>
      <c r="F215" s="24" t="n">
        <f aca="false">IF(C215&gt;C214,(F214+E215)*가정!$B$35,F214+E215)</f>
        <v>4661.54245678818</v>
      </c>
      <c r="G215" s="25" t="n">
        <f aca="false">(1+F215*가정!$B$37)*D215</f>
        <v>9202.2313609144</v>
      </c>
      <c r="H215" s="25" t="n">
        <f aca="false">(1+F215*가정!$B$38)*D215^0.6</f>
        <v>1108.17401330973</v>
      </c>
      <c r="I215" s="48" t="n">
        <f aca="false">가정!$B$5*가정!$B$7*가정!$B$6^(B215-1)/가정!$B$18</f>
        <v>1984269.50843229</v>
      </c>
      <c r="J215" s="48" t="n">
        <f aca="false">(가정!$B$12+가정!$B$15*(LOG(가정!$B$9*가정!$B$7*H215*가정!$B$10^B215/(가정!$B$10-1)*(가정!$B$14-1)/가정!$B$13)/LOG(가정!$B$14)))*G215</f>
        <v>4855844.76953956</v>
      </c>
      <c r="K215" s="49" t="n">
        <f aca="false">IFERROR(J215/I215,0)</f>
        <v>2.44716997812259</v>
      </c>
      <c r="L215" s="25" t="n">
        <f aca="false">A215/가정!$B$39</f>
        <v>71.3333333333333</v>
      </c>
      <c r="M215" s="26" t="str">
        <f aca="false">IF(K215&lt;1,"미달",IF(K215&gt;4,"과잉","적정"))</f>
        <v>적정</v>
      </c>
    </row>
    <row r="216" customFormat="false" ht="15" hidden="false" customHeight="true" outlineLevel="0" collapsed="false">
      <c r="A216" s="23" t="n">
        <v>215</v>
      </c>
      <c r="B216" s="23" t="n">
        <f aca="false">ROUND(가정!$B$32*(A216+1)^가정!$B$33,0)</f>
        <v>160</v>
      </c>
      <c r="C216" s="47" t="n">
        <f aca="false">IF(B216&gt;=IFERROR(INDEX(가정!$B$42:$B$50,C215),1000000),C215+1,C215)</f>
        <v>6</v>
      </c>
      <c r="D216" s="25" t="n">
        <f aca="false">가정!$B$34^(C216-1)</f>
        <v>97.65625</v>
      </c>
      <c r="E216" s="25" t="n">
        <f aca="false">(B216/10)^가정!$B$36</f>
        <v>84.4485062894653</v>
      </c>
      <c r="F216" s="24" t="n">
        <f aca="false">IF(C216&gt;C215,(F215+E216)*가정!$B$35,F215+E216)</f>
        <v>4745.99096307764</v>
      </c>
      <c r="G216" s="25" t="n">
        <f aca="false">(1+F216*가정!$B$37)*D216</f>
        <v>9367.16984976102</v>
      </c>
      <c r="H216" s="25" t="n">
        <f aca="false">(1+F216*가정!$B$38)*D216^0.6</f>
        <v>1127.96663197132</v>
      </c>
      <c r="I216" s="48" t="n">
        <f aca="false">가정!$B$5*가정!$B$7*가정!$B$6^(B216-1)/가정!$B$18</f>
        <v>1984269.50843229</v>
      </c>
      <c r="J216" s="48" t="n">
        <f aca="false">(가정!$B$12+가정!$B$15*(LOG(가정!$B$9*가정!$B$7*H216*가정!$B$10^B216/(가정!$B$10-1)*(가정!$B$14-1)/가정!$B$13)/LOG(가정!$B$14)))*G216</f>
        <v>4947269.41874419</v>
      </c>
      <c r="K216" s="49" t="n">
        <f aca="false">IFERROR(J216/I216,0)</f>
        <v>2.49324469167138</v>
      </c>
      <c r="L216" s="25" t="n">
        <f aca="false">A216/가정!$B$39</f>
        <v>71.6666666666667</v>
      </c>
      <c r="M216" s="26" t="str">
        <f aca="false">IF(K216&lt;1,"미달",IF(K216&gt;4,"과잉","적정"))</f>
        <v>적정</v>
      </c>
    </row>
    <row r="217" customFormat="false" ht="15" hidden="false" customHeight="true" outlineLevel="0" collapsed="false">
      <c r="A217" s="23" t="n">
        <v>216</v>
      </c>
      <c r="B217" s="23" t="n">
        <f aca="false">ROUND(가정!$B$32*(A217+1)^가정!$B$33,0)</f>
        <v>160</v>
      </c>
      <c r="C217" s="47" t="n">
        <f aca="false">IF(B217&gt;=IFERROR(INDEX(가정!$B$42:$B$50,C216),1000000),C216+1,C216)</f>
        <v>6</v>
      </c>
      <c r="D217" s="25" t="n">
        <f aca="false">가정!$B$34^(C217-1)</f>
        <v>97.65625</v>
      </c>
      <c r="E217" s="25" t="n">
        <f aca="false">(B217/10)^가정!$B$36</f>
        <v>84.4485062894653</v>
      </c>
      <c r="F217" s="24" t="n">
        <f aca="false">IF(C217&gt;C216,(F216+E217)*가정!$B$35,F216+E217)</f>
        <v>4830.43946936711</v>
      </c>
      <c r="G217" s="25" t="n">
        <f aca="false">(1+F217*가정!$B$37)*D217</f>
        <v>9532.10833860763</v>
      </c>
      <c r="H217" s="25" t="n">
        <f aca="false">(1+F217*가정!$B$38)*D217^0.6</f>
        <v>1147.75925063292</v>
      </c>
      <c r="I217" s="48" t="n">
        <f aca="false">가정!$B$5*가정!$B$7*가정!$B$6^(B217-1)/가정!$B$18</f>
        <v>1984269.50843229</v>
      </c>
      <c r="J217" s="48" t="n">
        <f aca="false">(가정!$B$12+가정!$B$15*(LOG(가정!$B$9*가정!$B$7*H217*가정!$B$10^B217/(가정!$B$10-1)*(가정!$B$14-1)/가정!$B$13)/LOG(가정!$B$14)))*G217</f>
        <v>5038770.95164711</v>
      </c>
      <c r="K217" s="49" t="n">
        <f aca="false">IFERROR(J217/I217,0)</f>
        <v>2.53935815182086</v>
      </c>
      <c r="L217" s="25" t="n">
        <f aca="false">A217/가정!$B$39</f>
        <v>72</v>
      </c>
      <c r="M217" s="26" t="str">
        <f aca="false">IF(K217&lt;1,"미달",IF(K217&gt;4,"과잉","적정"))</f>
        <v>적정</v>
      </c>
    </row>
    <row r="218" customFormat="false" ht="15" hidden="false" customHeight="true" outlineLevel="0" collapsed="false">
      <c r="A218" s="23" t="n">
        <v>217</v>
      </c>
      <c r="B218" s="23" t="n">
        <f aca="false">ROUND(가정!$B$32*(A218+1)^가정!$B$33,0)</f>
        <v>160</v>
      </c>
      <c r="C218" s="47" t="n">
        <f aca="false">IF(B218&gt;=IFERROR(INDEX(가정!$B$42:$B$50,C217),1000000),C217+1,C217)</f>
        <v>6</v>
      </c>
      <c r="D218" s="25" t="n">
        <f aca="false">가정!$B$34^(C218-1)</f>
        <v>97.65625</v>
      </c>
      <c r="E218" s="25" t="n">
        <f aca="false">(B218/10)^가정!$B$36</f>
        <v>84.4485062894653</v>
      </c>
      <c r="F218" s="24" t="n">
        <f aca="false">IF(C218&gt;C217,(F217+E218)*가정!$B$35,F217+E218)</f>
        <v>4914.88797565657</v>
      </c>
      <c r="G218" s="25" t="n">
        <f aca="false">(1+F218*가정!$B$37)*D218</f>
        <v>9697.04682745424</v>
      </c>
      <c r="H218" s="25" t="n">
        <f aca="false">(1+F218*가정!$B$38)*D218^0.6</f>
        <v>1167.55186929451</v>
      </c>
      <c r="I218" s="48" t="n">
        <f aca="false">가정!$B$5*가정!$B$7*가정!$B$6^(B218-1)/가정!$B$18</f>
        <v>1984269.50843229</v>
      </c>
      <c r="J218" s="48" t="n">
        <f aca="false">(가정!$B$12+가정!$B$15*(LOG(가정!$B$9*가정!$B$7*H218*가정!$B$10^B218/(가정!$B$10-1)*(가정!$B$14-1)/가정!$B$13)/LOG(가정!$B$14)))*G218</f>
        <v>5130348.03779107</v>
      </c>
      <c r="K218" s="49" t="n">
        <f aca="false">IFERROR(J218/I218,0)</f>
        <v>2.58550968806873</v>
      </c>
      <c r="L218" s="25" t="n">
        <f aca="false">A218/가정!$B$39</f>
        <v>72.3333333333333</v>
      </c>
      <c r="M218" s="26" t="str">
        <f aca="false">IF(K218&lt;1,"미달",IF(K218&gt;4,"과잉","적정"))</f>
        <v>적정</v>
      </c>
    </row>
    <row r="219" customFormat="false" ht="15" hidden="false" customHeight="true" outlineLevel="0" collapsed="false">
      <c r="A219" s="23" t="n">
        <v>218</v>
      </c>
      <c r="B219" s="23" t="n">
        <f aca="false">ROUND(가정!$B$32*(A219+1)^가정!$B$33,0)</f>
        <v>161</v>
      </c>
      <c r="C219" s="47" t="n">
        <f aca="false">IF(B219&gt;=IFERROR(INDEX(가정!$B$42:$B$50,C218),1000000),C218+1,C218)</f>
        <v>6</v>
      </c>
      <c r="D219" s="25" t="n">
        <f aca="false">가정!$B$34^(C219-1)</f>
        <v>97.65625</v>
      </c>
      <c r="E219" s="25" t="n">
        <f aca="false">(B219/10)^가정!$B$36</f>
        <v>85.2945734452227</v>
      </c>
      <c r="F219" s="24" t="n">
        <f aca="false">IF(C219&gt;C218,(F218+E219)*가정!$B$35,F218+E219)</f>
        <v>5000.18254910179</v>
      </c>
      <c r="G219" s="25" t="n">
        <f aca="false">(1+F219*가정!$B$37)*D219</f>
        <v>9863.63779121444</v>
      </c>
      <c r="H219" s="25" t="n">
        <f aca="false">(1+F219*가정!$B$38)*D219^0.6</f>
        <v>1187.54278494573</v>
      </c>
      <c r="I219" s="48" t="n">
        <f aca="false">가정!$B$5*가정!$B$7*가정!$B$6^(B219-1)/가정!$B$18</f>
        <v>2162853.7641912</v>
      </c>
      <c r="J219" s="48" t="n">
        <f aca="false">(가정!$B$12+가정!$B$15*(LOG(가정!$B$9*가정!$B$7*H219*가정!$B$10^B219/(가정!$B$10-1)*(가정!$B$14-1)/가정!$B$13)/LOG(가정!$B$14)))*G219</f>
        <v>5241801.42527658</v>
      </c>
      <c r="K219" s="49" t="n">
        <f aca="false">IFERROR(J219/I219,0)</f>
        <v>2.42355794555383</v>
      </c>
      <c r="L219" s="25" t="n">
        <f aca="false">A219/가정!$B$39</f>
        <v>72.6666666666667</v>
      </c>
      <c r="M219" s="26" t="str">
        <f aca="false">IF(K219&lt;1,"미달",IF(K219&gt;4,"과잉","적정"))</f>
        <v>적정</v>
      </c>
    </row>
    <row r="220" customFormat="false" ht="15" hidden="false" customHeight="true" outlineLevel="0" collapsed="false">
      <c r="A220" s="23" t="n">
        <v>219</v>
      </c>
      <c r="B220" s="23" t="n">
        <f aca="false">ROUND(가정!$B$32*(A220+1)^가정!$B$33,0)</f>
        <v>161</v>
      </c>
      <c r="C220" s="47" t="n">
        <f aca="false">IF(B220&gt;=IFERROR(INDEX(가정!$B$42:$B$50,C219),1000000),C219+1,C219)</f>
        <v>6</v>
      </c>
      <c r="D220" s="25" t="n">
        <f aca="false">가정!$B$34^(C220-1)</f>
        <v>97.65625</v>
      </c>
      <c r="E220" s="25" t="n">
        <f aca="false">(B220/10)^가정!$B$36</f>
        <v>85.2945734452227</v>
      </c>
      <c r="F220" s="24" t="n">
        <f aca="false">IF(C220&gt;C219,(F219+E220)*가정!$B$35,F219+E220)</f>
        <v>5085.47712254702</v>
      </c>
      <c r="G220" s="25" t="n">
        <f aca="false">(1+F220*가정!$B$37)*D220</f>
        <v>10030.2287549746</v>
      </c>
      <c r="H220" s="25" t="n">
        <f aca="false">(1+F220*가정!$B$38)*D220^0.6</f>
        <v>1207.53370059696</v>
      </c>
      <c r="I220" s="48" t="n">
        <f aca="false">가정!$B$5*가정!$B$7*가정!$B$6^(B220-1)/가정!$B$18</f>
        <v>2162853.7641912</v>
      </c>
      <c r="J220" s="48" t="n">
        <f aca="false">(가정!$B$12+가정!$B$15*(LOG(가정!$B$9*가정!$B$7*H220*가정!$B$10^B220/(가정!$B$10-1)*(가정!$B$14-1)/가정!$B$13)/LOG(가정!$B$14)))*G220</f>
        <v>5334764.79548315</v>
      </c>
      <c r="K220" s="49" t="n">
        <f aca="false">IFERROR(J220/I220,0)</f>
        <v>2.46653975585728</v>
      </c>
      <c r="L220" s="25" t="n">
        <f aca="false">A220/가정!$B$39</f>
        <v>73</v>
      </c>
      <c r="M220" s="26" t="str">
        <f aca="false">IF(K220&lt;1,"미달",IF(K220&gt;4,"과잉","적정"))</f>
        <v>적정</v>
      </c>
    </row>
    <row r="221" customFormat="false" ht="15" hidden="false" customHeight="true" outlineLevel="0" collapsed="false">
      <c r="A221" s="23" t="n">
        <v>220</v>
      </c>
      <c r="B221" s="23" t="n">
        <f aca="false">ROUND(가정!$B$32*(A221+1)^가정!$B$33,0)</f>
        <v>161</v>
      </c>
      <c r="C221" s="47" t="n">
        <f aca="false">IF(B221&gt;=IFERROR(INDEX(가정!$B$42:$B$50,C220),1000000),C220+1,C220)</f>
        <v>6</v>
      </c>
      <c r="D221" s="25" t="n">
        <f aca="false">가정!$B$34^(C221-1)</f>
        <v>97.65625</v>
      </c>
      <c r="E221" s="25" t="n">
        <f aca="false">(B221/10)^가정!$B$36</f>
        <v>85.2945734452227</v>
      </c>
      <c r="F221" s="24" t="n">
        <f aca="false">IF(C221&gt;C220,(F220+E221)*가정!$B$35,F220+E221)</f>
        <v>5170.77169599224</v>
      </c>
      <c r="G221" s="25" t="n">
        <f aca="false">(1+F221*가정!$B$37)*D221</f>
        <v>10196.8197187348</v>
      </c>
      <c r="H221" s="25" t="n">
        <f aca="false">(1+F221*가정!$B$38)*D221^0.6</f>
        <v>1227.52461624818</v>
      </c>
      <c r="I221" s="48" t="n">
        <f aca="false">가정!$B$5*가정!$B$7*가정!$B$6^(B221-1)/가정!$B$18</f>
        <v>2162853.7641912</v>
      </c>
      <c r="J221" s="48" t="n">
        <f aca="false">(가정!$B$12+가정!$B$15*(LOG(가정!$B$9*가정!$B$7*H221*가정!$B$10^B221/(가정!$B$10-1)*(가정!$B$14-1)/가정!$B$13)/LOG(가정!$B$14)))*G221</f>
        <v>5427801.41252591</v>
      </c>
      <c r="K221" s="49" t="n">
        <f aca="false">IFERROR(J221/I221,0)</f>
        <v>2.50955543198994</v>
      </c>
      <c r="L221" s="25" t="n">
        <f aca="false">A221/가정!$B$39</f>
        <v>73.3333333333333</v>
      </c>
      <c r="M221" s="26" t="str">
        <f aca="false">IF(K221&lt;1,"미달",IF(K221&gt;4,"과잉","적정"))</f>
        <v>적정</v>
      </c>
    </row>
    <row r="222" customFormat="false" ht="15" hidden="false" customHeight="true" outlineLevel="0" collapsed="false">
      <c r="A222" s="23" t="n">
        <v>221</v>
      </c>
      <c r="B222" s="23" t="n">
        <f aca="false">ROUND(가정!$B$32*(A222+1)^가정!$B$33,0)</f>
        <v>161</v>
      </c>
      <c r="C222" s="47" t="n">
        <f aca="false">IF(B222&gt;=IFERROR(INDEX(가정!$B$42:$B$50,C221),1000000),C221+1,C221)</f>
        <v>6</v>
      </c>
      <c r="D222" s="25" t="n">
        <f aca="false">가정!$B$34^(C222-1)</f>
        <v>97.65625</v>
      </c>
      <c r="E222" s="25" t="n">
        <f aca="false">(B222/10)^가정!$B$36</f>
        <v>85.2945734452227</v>
      </c>
      <c r="F222" s="24" t="n">
        <f aca="false">IF(C222&gt;C221,(F221+E222)*가정!$B$35,F221+E222)</f>
        <v>5256.06626943746</v>
      </c>
      <c r="G222" s="25" t="n">
        <f aca="false">(1+F222*가정!$B$37)*D222</f>
        <v>10363.410682495</v>
      </c>
      <c r="H222" s="25" t="n">
        <f aca="false">(1+F222*가정!$B$38)*D222^0.6</f>
        <v>1247.5155318994</v>
      </c>
      <c r="I222" s="48" t="n">
        <f aca="false">가정!$B$5*가정!$B$7*가정!$B$6^(B222-1)/가정!$B$18</f>
        <v>2162853.7641912</v>
      </c>
      <c r="J222" s="48" t="n">
        <f aca="false">(가정!$B$12+가정!$B$15*(LOG(가정!$B$9*가정!$B$7*H222*가정!$B$10^B222/(가정!$B$10-1)*(가정!$B$14-1)/가정!$B$13)/LOG(가정!$B$14)))*G222</f>
        <v>5520910.07964863</v>
      </c>
      <c r="K222" s="49" t="n">
        <f aca="false">IFERROR(J222/I222,0)</f>
        <v>2.55260442062905</v>
      </c>
      <c r="L222" s="25" t="n">
        <f aca="false">A222/가정!$B$39</f>
        <v>73.6666666666667</v>
      </c>
      <c r="M222" s="26" t="str">
        <f aca="false">IF(K222&lt;1,"미달",IF(K222&gt;4,"과잉","적정"))</f>
        <v>적정</v>
      </c>
    </row>
    <row r="223" customFormat="false" ht="15" hidden="false" customHeight="true" outlineLevel="0" collapsed="false">
      <c r="A223" s="23" t="n">
        <v>222</v>
      </c>
      <c r="B223" s="23" t="n">
        <f aca="false">ROUND(가정!$B$32*(A223+1)^가정!$B$33,0)</f>
        <v>161</v>
      </c>
      <c r="C223" s="47" t="n">
        <f aca="false">IF(B223&gt;=IFERROR(INDEX(가정!$B$42:$B$50,C222),1000000),C222+1,C222)</f>
        <v>6</v>
      </c>
      <c r="D223" s="25" t="n">
        <f aca="false">가정!$B$34^(C223-1)</f>
        <v>97.65625</v>
      </c>
      <c r="E223" s="25" t="n">
        <f aca="false">(B223/10)^가정!$B$36</f>
        <v>85.2945734452227</v>
      </c>
      <c r="F223" s="24" t="n">
        <f aca="false">IF(C223&gt;C222,(F222+E223)*가정!$B$35,F222+E223)</f>
        <v>5341.36084288268</v>
      </c>
      <c r="G223" s="25" t="n">
        <f aca="false">(1+F223*가정!$B$37)*D223</f>
        <v>10530.0016462552</v>
      </c>
      <c r="H223" s="25" t="n">
        <f aca="false">(1+F223*가정!$B$38)*D223^0.6</f>
        <v>1267.50644755063</v>
      </c>
      <c r="I223" s="48" t="n">
        <f aca="false">가정!$B$5*가정!$B$7*가정!$B$6^(B223-1)/가정!$B$18</f>
        <v>2162853.7641912</v>
      </c>
      <c r="J223" s="48" t="n">
        <f aca="false">(가정!$B$12+가정!$B$15*(LOG(가정!$B$9*가정!$B$7*H223*가정!$B$10^B223/(가정!$B$10-1)*(가정!$B$14-1)/가정!$B$13)/LOG(가정!$B$14)))*G223</f>
        <v>5614089.63857452</v>
      </c>
      <c r="K223" s="49" t="n">
        <f aca="false">IFERROR(J223/I223,0)</f>
        <v>2.59568618624289</v>
      </c>
      <c r="L223" s="25" t="n">
        <f aca="false">A223/가정!$B$39</f>
        <v>74</v>
      </c>
      <c r="M223" s="26" t="str">
        <f aca="false">IF(K223&lt;1,"미달",IF(K223&gt;4,"과잉","적정"))</f>
        <v>적정</v>
      </c>
    </row>
    <row r="224" customFormat="false" ht="15" hidden="false" customHeight="true" outlineLevel="0" collapsed="false">
      <c r="A224" s="23" t="n">
        <v>223</v>
      </c>
      <c r="B224" s="23" t="n">
        <f aca="false">ROUND(가정!$B$32*(A224+1)^가정!$B$33,0)</f>
        <v>162</v>
      </c>
      <c r="C224" s="47" t="n">
        <f aca="false">IF(B224&gt;=IFERROR(INDEX(가정!$B$42:$B$50,C223),1000000),C223+1,C223)</f>
        <v>6</v>
      </c>
      <c r="D224" s="25" t="n">
        <f aca="false">가정!$B$34^(C224-1)</f>
        <v>97.65625</v>
      </c>
      <c r="E224" s="25" t="n">
        <f aca="false">(B224/10)^가정!$B$36</f>
        <v>86.1437995430706</v>
      </c>
      <c r="F224" s="24" t="n">
        <f aca="false">IF(C224&gt;C223,(F223+E224)*가정!$B$35,F223+E224)</f>
        <v>5427.50464242575</v>
      </c>
      <c r="G224" s="25" t="n">
        <f aca="false">(1+F224*가정!$B$37)*D224</f>
        <v>10698.2512547378</v>
      </c>
      <c r="H224" s="25" t="n">
        <f aca="false">(1+F224*가정!$B$38)*D224^0.6</f>
        <v>1287.69640056854</v>
      </c>
      <c r="I224" s="48" t="n">
        <f aca="false">가정!$B$5*가정!$B$7*가정!$B$6^(B224-1)/가정!$B$18</f>
        <v>2357510.6029684</v>
      </c>
      <c r="J224" s="48" t="n">
        <f aca="false">(가정!$B$12+가정!$B$15*(LOG(가정!$B$9*가정!$B$7*H224*가정!$B$10^B224/(가정!$B$10-1)*(가정!$B$14-1)/가정!$B$13)/LOG(가정!$B$14)))*G224</f>
        <v>5728748.99761592</v>
      </c>
      <c r="K224" s="49" t="n">
        <f aca="false">IFERROR(J224/I224,0)</f>
        <v>2.42999925022721</v>
      </c>
      <c r="L224" s="25" t="n">
        <f aca="false">A224/가정!$B$39</f>
        <v>74.3333333333333</v>
      </c>
      <c r="M224" s="26" t="str">
        <f aca="false">IF(K224&lt;1,"미달",IF(K224&gt;4,"과잉","적정"))</f>
        <v>적정</v>
      </c>
    </row>
    <row r="225" customFormat="false" ht="15" hidden="false" customHeight="true" outlineLevel="0" collapsed="false">
      <c r="A225" s="23" t="n">
        <v>224</v>
      </c>
      <c r="B225" s="23" t="n">
        <f aca="false">ROUND(가정!$B$32*(A225+1)^가정!$B$33,0)</f>
        <v>162</v>
      </c>
      <c r="C225" s="47" t="n">
        <f aca="false">IF(B225&gt;=IFERROR(INDEX(가정!$B$42:$B$50,C224),1000000),C224+1,C224)</f>
        <v>6</v>
      </c>
      <c r="D225" s="25" t="n">
        <f aca="false">가정!$B$34^(C225-1)</f>
        <v>97.65625</v>
      </c>
      <c r="E225" s="25" t="n">
        <f aca="false">(B225/10)^가정!$B$36</f>
        <v>86.1437995430706</v>
      </c>
      <c r="F225" s="24" t="n">
        <f aca="false">IF(C225&gt;C224,(F224+E225)*가정!$B$35,F224+E225)</f>
        <v>5513.64844196882</v>
      </c>
      <c r="G225" s="25" t="n">
        <f aca="false">(1+F225*가정!$B$37)*D225</f>
        <v>10866.5008632204</v>
      </c>
      <c r="H225" s="25" t="n">
        <f aca="false">(1+F225*가정!$B$38)*D225^0.6</f>
        <v>1307.88635358644</v>
      </c>
      <c r="I225" s="48" t="n">
        <f aca="false">가정!$B$5*가정!$B$7*가정!$B$6^(B225-1)/가정!$B$18</f>
        <v>2357510.6029684</v>
      </c>
      <c r="J225" s="48" t="n">
        <f aca="false">(가정!$B$12+가정!$B$15*(LOG(가정!$B$9*가정!$B$7*H225*가정!$B$10^B225/(가정!$B$10-1)*(가정!$B$14-1)/가정!$B$13)/LOG(가정!$B$14)))*G225</f>
        <v>5823319.25304032</v>
      </c>
      <c r="K225" s="49" t="n">
        <f aca="false">IFERROR(J225/I225,0)</f>
        <v>2.47011370625779</v>
      </c>
      <c r="L225" s="25" t="n">
        <f aca="false">A225/가정!$B$39</f>
        <v>74.6666666666667</v>
      </c>
      <c r="M225" s="26" t="str">
        <f aca="false">IF(K225&lt;1,"미달",IF(K225&gt;4,"과잉","적정"))</f>
        <v>적정</v>
      </c>
    </row>
    <row r="226" customFormat="false" ht="15" hidden="false" customHeight="true" outlineLevel="0" collapsed="false">
      <c r="A226" s="23" t="n">
        <v>225</v>
      </c>
      <c r="B226" s="23" t="n">
        <f aca="false">ROUND(가정!$B$32*(A226+1)^가정!$B$33,0)</f>
        <v>162</v>
      </c>
      <c r="C226" s="47" t="n">
        <f aca="false">IF(B226&gt;=IFERROR(INDEX(가정!$B$42:$B$50,C225),1000000),C225+1,C225)</f>
        <v>6</v>
      </c>
      <c r="D226" s="25" t="n">
        <f aca="false">가정!$B$34^(C226-1)</f>
        <v>97.65625</v>
      </c>
      <c r="E226" s="25" t="n">
        <f aca="false">(B226/10)^가정!$B$36</f>
        <v>86.1437995430706</v>
      </c>
      <c r="F226" s="24" t="n">
        <f aca="false">IF(C226&gt;C225,(F225+E226)*가정!$B$35,F225+E226)</f>
        <v>5599.7922415119</v>
      </c>
      <c r="G226" s="25" t="n">
        <f aca="false">(1+F226*가정!$B$37)*D226</f>
        <v>11034.7504717029</v>
      </c>
      <c r="H226" s="25" t="n">
        <f aca="false">(1+F226*가정!$B$38)*D226^0.6</f>
        <v>1328.07630660435</v>
      </c>
      <c r="I226" s="48" t="n">
        <f aca="false">가정!$B$5*가정!$B$7*가정!$B$6^(B226-1)/가정!$B$18</f>
        <v>2357510.6029684</v>
      </c>
      <c r="J226" s="48" t="n">
        <f aca="false">(가정!$B$12+가정!$B$15*(LOG(가정!$B$9*가정!$B$7*H226*가정!$B$10^B226/(가정!$B$10-1)*(가정!$B$14-1)/가정!$B$13)/LOG(가정!$B$14)))*G226</f>
        <v>5917958.47101106</v>
      </c>
      <c r="K226" s="49" t="n">
        <f aca="false">IFERROR(J226/I226,0)</f>
        <v>2.51025741456246</v>
      </c>
      <c r="L226" s="25" t="n">
        <f aca="false">A226/가정!$B$39</f>
        <v>75</v>
      </c>
      <c r="M226" s="26" t="str">
        <f aca="false">IF(K226&lt;1,"미달",IF(K226&gt;4,"과잉","적정"))</f>
        <v>적정</v>
      </c>
    </row>
    <row r="227" customFormat="false" ht="15" hidden="false" customHeight="true" outlineLevel="0" collapsed="false">
      <c r="A227" s="23" t="n">
        <v>226</v>
      </c>
      <c r="B227" s="23" t="n">
        <f aca="false">ROUND(가정!$B$32*(A227+1)^가정!$B$33,0)</f>
        <v>162</v>
      </c>
      <c r="C227" s="47" t="n">
        <f aca="false">IF(B227&gt;=IFERROR(INDEX(가정!$B$42:$B$50,C226),1000000),C226+1,C226)</f>
        <v>6</v>
      </c>
      <c r="D227" s="25" t="n">
        <f aca="false">가정!$B$34^(C227-1)</f>
        <v>97.65625</v>
      </c>
      <c r="E227" s="25" t="n">
        <f aca="false">(B227/10)^가정!$B$36</f>
        <v>86.1437995430706</v>
      </c>
      <c r="F227" s="24" t="n">
        <f aca="false">IF(C227&gt;C226,(F226+E227)*가정!$B$35,F226+E227)</f>
        <v>5685.93604105497</v>
      </c>
      <c r="G227" s="25" t="n">
        <f aca="false">(1+F227*가정!$B$37)*D227</f>
        <v>11203.0000801855</v>
      </c>
      <c r="H227" s="25" t="n">
        <f aca="false">(1+F227*가정!$B$38)*D227^0.6</f>
        <v>1348.26625962226</v>
      </c>
      <c r="I227" s="48" t="n">
        <f aca="false">가정!$B$5*가정!$B$7*가정!$B$6^(B227-1)/가정!$B$18</f>
        <v>2357510.6029684</v>
      </c>
      <c r="J227" s="48" t="n">
        <f aca="false">(가정!$B$12+가정!$B$15*(LOG(가정!$B$9*가정!$B$7*H227*가정!$B$10^B227/(가정!$B$10-1)*(가정!$B$14-1)/가정!$B$13)/LOG(가정!$B$14)))*G227</f>
        <v>6012665.59997505</v>
      </c>
      <c r="K227" s="49" t="n">
        <f aca="false">IFERROR(J227/I227,0)</f>
        <v>2.55042992909739</v>
      </c>
      <c r="L227" s="25" t="n">
        <f aca="false">A227/가정!$B$39</f>
        <v>75.3333333333333</v>
      </c>
      <c r="M227" s="26" t="str">
        <f aca="false">IF(K227&lt;1,"미달",IF(K227&gt;4,"과잉","적정"))</f>
        <v>적정</v>
      </c>
    </row>
    <row r="228" customFormat="false" ht="15" hidden="false" customHeight="true" outlineLevel="0" collapsed="false">
      <c r="A228" s="23" t="n">
        <v>227</v>
      </c>
      <c r="B228" s="23" t="n">
        <f aca="false">ROUND(가정!$B$32*(A228+1)^가정!$B$33,0)</f>
        <v>162</v>
      </c>
      <c r="C228" s="47" t="n">
        <f aca="false">IF(B228&gt;=IFERROR(INDEX(가정!$B$42:$B$50,C227),1000000),C227+1,C227)</f>
        <v>6</v>
      </c>
      <c r="D228" s="25" t="n">
        <f aca="false">가정!$B$34^(C228-1)</f>
        <v>97.65625</v>
      </c>
      <c r="E228" s="25" t="n">
        <f aca="false">(B228/10)^가정!$B$36</f>
        <v>86.1437995430706</v>
      </c>
      <c r="F228" s="24" t="n">
        <f aca="false">IF(C228&gt;C227,(F227+E228)*가정!$B$35,F227+E228)</f>
        <v>5772.07984059804</v>
      </c>
      <c r="G228" s="25" t="n">
        <f aca="false">(1+F228*가정!$B$37)*D228</f>
        <v>11371.249688668</v>
      </c>
      <c r="H228" s="25" t="n">
        <f aca="false">(1+F228*가정!$B$38)*D228^0.6</f>
        <v>1368.45621264016</v>
      </c>
      <c r="I228" s="48" t="n">
        <f aca="false">가정!$B$5*가정!$B$7*가정!$B$6^(B228-1)/가정!$B$18</f>
        <v>2357510.6029684</v>
      </c>
      <c r="J228" s="48" t="n">
        <f aca="false">(가정!$B$12+가정!$B$15*(LOG(가정!$B$9*가정!$B$7*H228*가정!$B$10^B228/(가정!$B$10-1)*(가정!$B$14-1)/가정!$B$13)/LOG(가정!$B$14)))*G228</f>
        <v>6107439.61996703</v>
      </c>
      <c r="K228" s="49" t="n">
        <f aca="false">IFERROR(J228/I228,0)</f>
        <v>2.59063081721753</v>
      </c>
      <c r="L228" s="25" t="n">
        <f aca="false">A228/가정!$B$39</f>
        <v>75.6666666666667</v>
      </c>
      <c r="M228" s="26" t="str">
        <f aca="false">IF(K228&lt;1,"미달",IF(K228&gt;4,"과잉","적정"))</f>
        <v>적정</v>
      </c>
    </row>
    <row r="229" customFormat="false" ht="15" hidden="false" customHeight="true" outlineLevel="0" collapsed="false">
      <c r="A229" s="23" t="n">
        <v>228</v>
      </c>
      <c r="B229" s="23" t="n">
        <f aca="false">ROUND(가정!$B$32*(A229+1)^가정!$B$33,0)</f>
        <v>163</v>
      </c>
      <c r="C229" s="47" t="n">
        <f aca="false">IF(B229&gt;=IFERROR(INDEX(가정!$B$42:$B$50,C228),1000000),C228+1,C228)</f>
        <v>6</v>
      </c>
      <c r="D229" s="25" t="n">
        <f aca="false">가정!$B$34^(C229-1)</f>
        <v>97.65625</v>
      </c>
      <c r="E229" s="25" t="n">
        <f aca="false">(B229/10)^가정!$B$36</f>
        <v>86.9961767685902</v>
      </c>
      <c r="F229" s="24" t="n">
        <f aca="false">IF(C229&gt;C228,(F228+E229)*가정!$B$35,F228+E229)</f>
        <v>5859.07601736663</v>
      </c>
      <c r="G229" s="25" t="n">
        <f aca="false">(1+F229*가정!$B$37)*D229</f>
        <v>11541.1640964192</v>
      </c>
      <c r="H229" s="25" t="n">
        <f aca="false">(1+F229*가정!$B$38)*D229^0.6</f>
        <v>1388.8459415703</v>
      </c>
      <c r="I229" s="48" t="n">
        <f aca="false">가정!$B$5*가정!$B$7*가정!$B$6^(B229-1)/가정!$B$18</f>
        <v>2569686.55723556</v>
      </c>
      <c r="J229" s="48" t="n">
        <f aca="false">(가정!$B$12+가정!$B$15*(LOG(가정!$B$9*가정!$B$7*H229*가정!$B$10^B229/(가정!$B$10-1)*(가정!$B$14-1)/가정!$B$13)/LOG(가정!$B$14)))*G229</f>
        <v>6225313.26070663</v>
      </c>
      <c r="K229" s="49" t="n">
        <f aca="false">IFERROR(J229/I229,0)</f>
        <v>2.42259634474788</v>
      </c>
      <c r="L229" s="25" t="n">
        <f aca="false">A229/가정!$B$39</f>
        <v>76</v>
      </c>
      <c r="M229" s="26" t="str">
        <f aca="false">IF(K229&lt;1,"미달",IF(K229&gt;4,"과잉","적정"))</f>
        <v>적정</v>
      </c>
    </row>
    <row r="230" customFormat="false" ht="15" hidden="false" customHeight="true" outlineLevel="0" collapsed="false">
      <c r="A230" s="23" t="n">
        <v>229</v>
      </c>
      <c r="B230" s="23" t="n">
        <f aca="false">ROUND(가정!$B$32*(A230+1)^가정!$B$33,0)</f>
        <v>163</v>
      </c>
      <c r="C230" s="47" t="n">
        <f aca="false">IF(B230&gt;=IFERROR(INDEX(가정!$B$42:$B$50,C229),1000000),C229+1,C229)</f>
        <v>6</v>
      </c>
      <c r="D230" s="25" t="n">
        <f aca="false">가정!$B$34^(C230-1)</f>
        <v>97.65625</v>
      </c>
      <c r="E230" s="25" t="n">
        <f aca="false">(B230/10)^가정!$B$36</f>
        <v>86.9961767685902</v>
      </c>
      <c r="F230" s="24" t="n">
        <f aca="false">IF(C230&gt;C229,(F229+E230)*가정!$B$35,F229+E230)</f>
        <v>5946.07219413522</v>
      </c>
      <c r="G230" s="25" t="n">
        <f aca="false">(1+F230*가정!$B$37)*D230</f>
        <v>11711.0785041703</v>
      </c>
      <c r="H230" s="25" t="n">
        <f aca="false">(1+F230*가정!$B$38)*D230^0.6</f>
        <v>1409.23567050044</v>
      </c>
      <c r="I230" s="48" t="n">
        <f aca="false">가정!$B$5*가정!$B$7*가정!$B$6^(B230-1)/가정!$B$18</f>
        <v>2569686.55723556</v>
      </c>
      <c r="J230" s="48" t="n">
        <f aca="false">(가정!$B$12+가정!$B$15*(LOG(가정!$B$9*가정!$B$7*H230*가정!$B$10^B230/(가정!$B$10-1)*(가정!$B$14-1)/가정!$B$13)/LOG(가정!$B$14)))*G230</f>
        <v>6321483.44653356</v>
      </c>
      <c r="K230" s="49" t="n">
        <f aca="false">IFERROR(J230/I230,0)</f>
        <v>2.46002121493531</v>
      </c>
      <c r="L230" s="25" t="n">
        <f aca="false">A230/가정!$B$39</f>
        <v>76.3333333333333</v>
      </c>
      <c r="M230" s="26" t="str">
        <f aca="false">IF(K230&lt;1,"미달",IF(K230&gt;4,"과잉","적정"))</f>
        <v>적정</v>
      </c>
    </row>
    <row r="231" customFormat="false" ht="15" hidden="false" customHeight="true" outlineLevel="0" collapsed="false">
      <c r="A231" s="23" t="n">
        <v>230</v>
      </c>
      <c r="B231" s="23" t="n">
        <f aca="false">ROUND(가정!$B$32*(A231+1)^가정!$B$33,0)</f>
        <v>163</v>
      </c>
      <c r="C231" s="47" t="n">
        <f aca="false">IF(B231&gt;=IFERROR(INDEX(가정!$B$42:$B$50,C230),1000000),C230+1,C230)</f>
        <v>6</v>
      </c>
      <c r="D231" s="25" t="n">
        <f aca="false">가정!$B$34^(C231-1)</f>
        <v>97.65625</v>
      </c>
      <c r="E231" s="25" t="n">
        <f aca="false">(B231/10)^가정!$B$36</f>
        <v>86.9961767685902</v>
      </c>
      <c r="F231" s="24" t="n">
        <f aca="false">IF(C231&gt;C230,(F230+E231)*가정!$B$35,F230+E231)</f>
        <v>6033.06837090381</v>
      </c>
      <c r="G231" s="25" t="n">
        <f aca="false">(1+F231*가정!$B$37)*D231</f>
        <v>11880.9929119215</v>
      </c>
      <c r="H231" s="25" t="n">
        <f aca="false">(1+F231*가정!$B$38)*D231^0.6</f>
        <v>1429.62539943058</v>
      </c>
      <c r="I231" s="48" t="n">
        <f aca="false">가정!$B$5*가정!$B$7*가정!$B$6^(B231-1)/가정!$B$18</f>
        <v>2569686.55723556</v>
      </c>
      <c r="J231" s="48" t="n">
        <f aca="false">(가정!$B$12+가정!$B$15*(LOG(가정!$B$9*가정!$B$7*H231*가정!$B$10^B231/(가정!$B$10-1)*(가정!$B$14-1)/가정!$B$13)/LOG(가정!$B$14)))*G231</f>
        <v>6417718.89382638</v>
      </c>
      <c r="K231" s="49" t="n">
        <f aca="false">IFERROR(J231/I231,0)</f>
        <v>2.49747148178667</v>
      </c>
      <c r="L231" s="25" t="n">
        <f aca="false">A231/가정!$B$39</f>
        <v>76.6666666666667</v>
      </c>
      <c r="M231" s="26" t="str">
        <f aca="false">IF(K231&lt;1,"미달",IF(K231&gt;4,"과잉","적정"))</f>
        <v>적정</v>
      </c>
    </row>
    <row r="232" customFormat="false" ht="15" hidden="false" customHeight="true" outlineLevel="0" collapsed="false">
      <c r="A232" s="23" t="n">
        <v>231</v>
      </c>
      <c r="B232" s="23" t="n">
        <f aca="false">ROUND(가정!$B$32*(A232+1)^가정!$B$33,0)</f>
        <v>163</v>
      </c>
      <c r="C232" s="47" t="n">
        <f aca="false">IF(B232&gt;=IFERROR(INDEX(가정!$B$42:$B$50,C231),1000000),C231+1,C231)</f>
        <v>6</v>
      </c>
      <c r="D232" s="25" t="n">
        <f aca="false">가정!$B$34^(C232-1)</f>
        <v>97.65625</v>
      </c>
      <c r="E232" s="25" t="n">
        <f aca="false">(B232/10)^가정!$B$36</f>
        <v>86.9961767685902</v>
      </c>
      <c r="F232" s="24" t="n">
        <f aca="false">IF(C232&gt;C231,(F231+E232)*가정!$B$35,F231+E232)</f>
        <v>6120.0645476724</v>
      </c>
      <c r="G232" s="25" t="n">
        <f aca="false">(1+F232*가정!$B$37)*D232</f>
        <v>12050.9073196726</v>
      </c>
      <c r="H232" s="25" t="n">
        <f aca="false">(1+F232*가정!$B$38)*D232^0.6</f>
        <v>1450.01512836072</v>
      </c>
      <c r="I232" s="48" t="n">
        <f aca="false">가정!$B$5*가정!$B$7*가정!$B$6^(B232-1)/가정!$B$18</f>
        <v>2569686.55723556</v>
      </c>
      <c r="J232" s="48" t="n">
        <f aca="false">(가정!$B$12+가정!$B$15*(LOG(가정!$B$9*가정!$B$7*H232*가정!$B$10^B232/(가정!$B$10-1)*(가정!$B$14-1)/가정!$B$13)/LOG(가정!$B$14)))*G232</f>
        <v>6514018.66920698</v>
      </c>
      <c r="K232" s="49" t="n">
        <f aca="false">IFERROR(J232/I232,0)</f>
        <v>2.53494678207551</v>
      </c>
      <c r="L232" s="25" t="n">
        <f aca="false">A232/가정!$B$39</f>
        <v>77</v>
      </c>
      <c r="M232" s="26" t="str">
        <f aca="false">IF(K232&lt;1,"미달",IF(K232&gt;4,"과잉","적정"))</f>
        <v>적정</v>
      </c>
    </row>
    <row r="233" customFormat="false" ht="15" hidden="false" customHeight="true" outlineLevel="0" collapsed="false">
      <c r="A233" s="23" t="n">
        <v>232</v>
      </c>
      <c r="B233" s="23" t="n">
        <f aca="false">ROUND(가정!$B$32*(A233+1)^가정!$B$33,0)</f>
        <v>163</v>
      </c>
      <c r="C233" s="47" t="n">
        <f aca="false">IF(B233&gt;=IFERROR(INDEX(가정!$B$42:$B$50,C232),1000000),C232+1,C232)</f>
        <v>6</v>
      </c>
      <c r="D233" s="25" t="n">
        <f aca="false">가정!$B$34^(C233-1)</f>
        <v>97.65625</v>
      </c>
      <c r="E233" s="25" t="n">
        <f aca="false">(B233/10)^가정!$B$36</f>
        <v>86.9961767685902</v>
      </c>
      <c r="F233" s="24" t="n">
        <f aca="false">IF(C233&gt;C232,(F232+E233)*가정!$B$35,F232+E233)</f>
        <v>6207.06072444099</v>
      </c>
      <c r="G233" s="25" t="n">
        <f aca="false">(1+F233*가정!$B$37)*D233</f>
        <v>12220.8217274238</v>
      </c>
      <c r="H233" s="25" t="n">
        <f aca="false">(1+F233*가정!$B$38)*D233^0.6</f>
        <v>1470.40485729086</v>
      </c>
      <c r="I233" s="48" t="n">
        <f aca="false">가정!$B$5*가정!$B$7*가정!$B$6^(B233-1)/가정!$B$18</f>
        <v>2569686.55723556</v>
      </c>
      <c r="J233" s="48" t="n">
        <f aca="false">(가정!$B$12+가정!$B$15*(LOG(가정!$B$9*가정!$B$7*H233*가정!$B$10^B233/(가정!$B$10-1)*(가정!$B$14-1)/가정!$B$13)/LOG(가정!$B$14)))*G233</f>
        <v>6610381.86562008</v>
      </c>
      <c r="K233" s="49" t="n">
        <f aca="false">IFERROR(J233/I233,0)</f>
        <v>2.57244676281898</v>
      </c>
      <c r="L233" s="25" t="n">
        <f aca="false">A233/가정!$B$39</f>
        <v>77.3333333333333</v>
      </c>
      <c r="M233" s="26" t="str">
        <f aca="false">IF(K233&lt;1,"미달",IF(K233&gt;4,"과잉","적정"))</f>
        <v>적정</v>
      </c>
    </row>
    <row r="234" customFormat="false" ht="15" hidden="false" customHeight="true" outlineLevel="0" collapsed="false">
      <c r="A234" s="23" t="n">
        <v>233</v>
      </c>
      <c r="B234" s="23" t="n">
        <f aca="false">ROUND(가정!$B$32*(A234+1)^가정!$B$33,0)</f>
        <v>164</v>
      </c>
      <c r="C234" s="47" t="n">
        <f aca="false">IF(B234&gt;=IFERROR(INDEX(가정!$B$42:$B$50,C233),1000000),C233+1,C233)</f>
        <v>6</v>
      </c>
      <c r="D234" s="25" t="n">
        <f aca="false">가정!$B$34^(C234-1)</f>
        <v>97.65625</v>
      </c>
      <c r="E234" s="25" t="n">
        <f aca="false">(B234/10)^가정!$B$36</f>
        <v>87.8516973746054</v>
      </c>
      <c r="F234" s="24" t="n">
        <f aca="false">IF(C234&gt;C233,(F233+E234)*가정!$B$35,F233+E234)</f>
        <v>6294.91242181559</v>
      </c>
      <c r="G234" s="25" t="n">
        <f aca="false">(1+F234*가정!$B$37)*D234</f>
        <v>12392.4070738586</v>
      </c>
      <c r="H234" s="25" t="n">
        <f aca="false">(1+F234*가정!$B$38)*D234^0.6</f>
        <v>1490.99509886303</v>
      </c>
      <c r="I234" s="48" t="n">
        <f aca="false">가정!$B$5*가정!$B$7*가정!$B$6^(B234-1)/가정!$B$18</f>
        <v>2800958.34738676</v>
      </c>
      <c r="J234" s="48" t="n">
        <f aca="false">(가정!$B$12+가정!$B$15*(LOG(가정!$B$9*가정!$B$7*H234*가정!$B$10^B234/(가정!$B$10-1)*(가정!$B$14-1)/가정!$B$13)/LOG(가정!$B$14)))*G234</f>
        <v>6731480.79074729</v>
      </c>
      <c r="K234" s="49" t="n">
        <f aca="false">IFERROR(J234/I234,0)</f>
        <v>2.4032777199374</v>
      </c>
      <c r="L234" s="25" t="n">
        <f aca="false">A234/가정!$B$39</f>
        <v>77.6666666666667</v>
      </c>
      <c r="M234" s="26" t="str">
        <f aca="false">IF(K234&lt;1,"미달",IF(K234&gt;4,"과잉","적정"))</f>
        <v>적정</v>
      </c>
    </row>
    <row r="235" customFormat="false" ht="15" hidden="false" customHeight="true" outlineLevel="0" collapsed="false">
      <c r="A235" s="23" t="n">
        <v>234</v>
      </c>
      <c r="B235" s="23" t="n">
        <f aca="false">ROUND(가정!$B$32*(A235+1)^가정!$B$33,0)</f>
        <v>164</v>
      </c>
      <c r="C235" s="47" t="n">
        <f aca="false">IF(B235&gt;=IFERROR(INDEX(가정!$B$42:$B$50,C234),1000000),C234+1,C234)</f>
        <v>6</v>
      </c>
      <c r="D235" s="25" t="n">
        <f aca="false">가정!$B$34^(C235-1)</f>
        <v>97.65625</v>
      </c>
      <c r="E235" s="25" t="n">
        <f aca="false">(B235/10)^가정!$B$36</f>
        <v>87.8516973746054</v>
      </c>
      <c r="F235" s="24" t="n">
        <f aca="false">IF(C235&gt;C234,(F234+E235)*가정!$B$35,F234+E235)</f>
        <v>6382.7641191902</v>
      </c>
      <c r="G235" s="25" t="n">
        <f aca="false">(1+F235*가정!$B$37)*D235</f>
        <v>12563.9924202934</v>
      </c>
      <c r="H235" s="25" t="n">
        <f aca="false">(1+F235*가정!$B$38)*D235^0.6</f>
        <v>1511.5853404352</v>
      </c>
      <c r="I235" s="48" t="n">
        <f aca="false">가정!$B$5*가정!$B$7*가정!$B$6^(B235-1)/가정!$B$18</f>
        <v>2800958.34738676</v>
      </c>
      <c r="J235" s="48" t="n">
        <f aca="false">(가정!$B$12+가정!$B$15*(LOG(가정!$B$9*가정!$B$7*H235*가정!$B$10^B235/(가정!$B$10-1)*(가정!$B$14-1)/가정!$B$13)/LOG(가정!$B$14)))*G235</f>
        <v>6829246.46855256</v>
      </c>
      <c r="K235" s="49" t="n">
        <f aca="false">IFERROR(J235/I235,0)</f>
        <v>2.438182086829</v>
      </c>
      <c r="L235" s="25" t="n">
        <f aca="false">A235/가정!$B$39</f>
        <v>78</v>
      </c>
      <c r="M235" s="26" t="str">
        <f aca="false">IF(K235&lt;1,"미달",IF(K235&gt;4,"과잉","적정"))</f>
        <v>적정</v>
      </c>
    </row>
    <row r="236" customFormat="false" ht="15" hidden="false" customHeight="true" outlineLevel="0" collapsed="false">
      <c r="A236" s="23" t="n">
        <v>235</v>
      </c>
      <c r="B236" s="23" t="n">
        <f aca="false">ROUND(가정!$B$32*(A236+1)^가정!$B$33,0)</f>
        <v>164</v>
      </c>
      <c r="C236" s="47" t="n">
        <f aca="false">IF(B236&gt;=IFERROR(INDEX(가정!$B$42:$B$50,C235),1000000),C235+1,C235)</f>
        <v>6</v>
      </c>
      <c r="D236" s="25" t="n">
        <f aca="false">가정!$B$34^(C236-1)</f>
        <v>97.65625</v>
      </c>
      <c r="E236" s="25" t="n">
        <f aca="false">(B236/10)^가정!$B$36</f>
        <v>87.8516973746054</v>
      </c>
      <c r="F236" s="24" t="n">
        <f aca="false">IF(C236&gt;C235,(F235+E236)*가정!$B$35,F235+E236)</f>
        <v>6470.6158165648</v>
      </c>
      <c r="G236" s="25" t="n">
        <f aca="false">(1+F236*가정!$B$37)*D236</f>
        <v>12735.5777667281</v>
      </c>
      <c r="H236" s="25" t="n">
        <f aca="false">(1+F236*가정!$B$38)*D236^0.6</f>
        <v>1532.17558200738</v>
      </c>
      <c r="I236" s="48" t="n">
        <f aca="false">가정!$B$5*가정!$B$7*가정!$B$6^(B236-1)/가정!$B$18</f>
        <v>2800958.34738676</v>
      </c>
      <c r="J236" s="48" t="n">
        <f aca="false">(가정!$B$12+가정!$B$15*(LOG(가정!$B$9*가정!$B$7*H236*가정!$B$10^B236/(가정!$B$10-1)*(가정!$B$14-1)/가정!$B$13)/LOG(가정!$B$14)))*G236</f>
        <v>6927074.17963574</v>
      </c>
      <c r="K236" s="49" t="n">
        <f aca="false">IFERROR(J236/I236,0)</f>
        <v>2.47310860088247</v>
      </c>
      <c r="L236" s="25" t="n">
        <f aca="false">A236/가정!$B$39</f>
        <v>78.3333333333333</v>
      </c>
      <c r="M236" s="26" t="str">
        <f aca="false">IF(K236&lt;1,"미달",IF(K236&gt;4,"과잉","적정"))</f>
        <v>적정</v>
      </c>
    </row>
    <row r="237" customFormat="false" ht="15" hidden="false" customHeight="true" outlineLevel="0" collapsed="false">
      <c r="A237" s="23" t="n">
        <v>236</v>
      </c>
      <c r="B237" s="23" t="n">
        <f aca="false">ROUND(가정!$B$32*(A237+1)^가정!$B$33,0)</f>
        <v>164</v>
      </c>
      <c r="C237" s="47" t="n">
        <f aca="false">IF(B237&gt;=IFERROR(INDEX(가정!$B$42:$B$50,C236),1000000),C236+1,C236)</f>
        <v>6</v>
      </c>
      <c r="D237" s="25" t="n">
        <f aca="false">가정!$B$34^(C237-1)</f>
        <v>97.65625</v>
      </c>
      <c r="E237" s="25" t="n">
        <f aca="false">(B237/10)^가정!$B$36</f>
        <v>87.8516973746054</v>
      </c>
      <c r="F237" s="24" t="n">
        <f aca="false">IF(C237&gt;C236,(F236+E237)*가정!$B$35,F236+E237)</f>
        <v>6558.46751393941</v>
      </c>
      <c r="G237" s="25" t="n">
        <f aca="false">(1+F237*가정!$B$37)*D237</f>
        <v>12907.1631131629</v>
      </c>
      <c r="H237" s="25" t="n">
        <f aca="false">(1+F237*가정!$B$38)*D237^0.6</f>
        <v>1552.76582357955</v>
      </c>
      <c r="I237" s="48" t="n">
        <f aca="false">가정!$B$5*가정!$B$7*가정!$B$6^(B237-1)/가정!$B$18</f>
        <v>2800958.34738676</v>
      </c>
      <c r="J237" s="48" t="n">
        <f aca="false">(가정!$B$12+가정!$B$15*(LOG(가정!$B$9*가정!$B$7*H237*가정!$B$10^B237/(가정!$B$10-1)*(가정!$B$14-1)/가정!$B$13)/LOG(가정!$B$14)))*G237</f>
        <v>7024963.08818777</v>
      </c>
      <c r="K237" s="49" t="n">
        <f aca="false">IFERROR(J237/I237,0)</f>
        <v>2.5080569636967</v>
      </c>
      <c r="L237" s="25" t="n">
        <f aca="false">A237/가정!$B$39</f>
        <v>78.6666666666667</v>
      </c>
      <c r="M237" s="26" t="str">
        <f aca="false">IF(K237&lt;1,"미달",IF(K237&gt;4,"과잉","적정"))</f>
        <v>적정</v>
      </c>
    </row>
    <row r="238" customFormat="false" ht="15" hidden="false" customHeight="true" outlineLevel="0" collapsed="false">
      <c r="A238" s="23" t="n">
        <v>237</v>
      </c>
      <c r="B238" s="23" t="n">
        <f aca="false">ROUND(가정!$B$32*(A238+1)^가정!$B$33,0)</f>
        <v>164</v>
      </c>
      <c r="C238" s="47" t="n">
        <f aca="false">IF(B238&gt;=IFERROR(INDEX(가정!$B$42:$B$50,C237),1000000),C237+1,C237)</f>
        <v>6</v>
      </c>
      <c r="D238" s="25" t="n">
        <f aca="false">가정!$B$34^(C238-1)</f>
        <v>97.65625</v>
      </c>
      <c r="E238" s="25" t="n">
        <f aca="false">(B238/10)^가정!$B$36</f>
        <v>87.8516973746054</v>
      </c>
      <c r="F238" s="24" t="n">
        <f aca="false">IF(C238&gt;C237,(F237+E238)*가정!$B$35,F237+E238)</f>
        <v>6646.31921131401</v>
      </c>
      <c r="G238" s="25" t="n">
        <f aca="false">(1+F238*가정!$B$37)*D238</f>
        <v>13078.7484595977</v>
      </c>
      <c r="H238" s="25" t="n">
        <f aca="false">(1+F238*가정!$B$38)*D238^0.6</f>
        <v>1573.35606515172</v>
      </c>
      <c r="I238" s="48" t="n">
        <f aca="false">가정!$B$5*가정!$B$7*가정!$B$6^(B238-1)/가정!$B$18</f>
        <v>2800958.34738676</v>
      </c>
      <c r="J238" s="48" t="n">
        <f aca="false">(가정!$B$12+가정!$B$15*(LOG(가정!$B$9*가정!$B$7*H238*가정!$B$10^B238/(가정!$B$10-1)*(가정!$B$14-1)/가정!$B$13)/LOG(가정!$B$14)))*G238</f>
        <v>7122912.38062337</v>
      </c>
      <c r="K238" s="49" t="n">
        <f aca="false">IFERROR(J238/I238,0)</f>
        <v>2.54302688480495</v>
      </c>
      <c r="L238" s="25" t="n">
        <f aca="false">A238/가정!$B$39</f>
        <v>79</v>
      </c>
      <c r="M238" s="26" t="str">
        <f aca="false">IF(K238&lt;1,"미달",IF(K238&gt;4,"과잉","적정"))</f>
        <v>적정</v>
      </c>
    </row>
    <row r="239" customFormat="false" ht="15" hidden="false" customHeight="true" outlineLevel="0" collapsed="false">
      <c r="A239" s="23" t="n">
        <v>238</v>
      </c>
      <c r="B239" s="23" t="n">
        <f aca="false">ROUND(가정!$B$32*(A239+1)^가정!$B$33,0)</f>
        <v>164</v>
      </c>
      <c r="C239" s="47" t="n">
        <f aca="false">IF(B239&gt;=IFERROR(INDEX(가정!$B$42:$B$50,C238),1000000),C238+1,C238)</f>
        <v>6</v>
      </c>
      <c r="D239" s="25" t="n">
        <f aca="false">가정!$B$34^(C239-1)</f>
        <v>97.65625</v>
      </c>
      <c r="E239" s="25" t="n">
        <f aca="false">(B239/10)^가정!$B$36</f>
        <v>87.8516973746054</v>
      </c>
      <c r="F239" s="24" t="n">
        <f aca="false">IF(C239&gt;C238,(F238+E239)*가정!$B$35,F238+E239)</f>
        <v>6734.17090868862</v>
      </c>
      <c r="G239" s="25" t="n">
        <f aca="false">(1+F239*가정!$B$37)*D239</f>
        <v>13250.3338060325</v>
      </c>
      <c r="H239" s="25" t="n">
        <f aca="false">(1+F239*가정!$B$38)*D239^0.6</f>
        <v>1593.94630672389</v>
      </c>
      <c r="I239" s="48" t="n">
        <f aca="false">가정!$B$5*가정!$B$7*가정!$B$6^(B239-1)/가정!$B$18</f>
        <v>2800958.34738676</v>
      </c>
      <c r="J239" s="48" t="n">
        <f aca="false">(가정!$B$12+가정!$B$15*(LOG(가정!$B$9*가정!$B$7*H239*가정!$B$10^B239/(가정!$B$10-1)*(가정!$B$14-1)/가정!$B$13)/LOG(가정!$B$14)))*G239</f>
        <v>7220921.26470619</v>
      </c>
      <c r="K239" s="49" t="n">
        <f aca="false">IFERROR(J239/I239,0)</f>
        <v>2.57801808136246</v>
      </c>
      <c r="L239" s="25" t="n">
        <f aca="false">A239/가정!$B$39</f>
        <v>79.3333333333333</v>
      </c>
      <c r="M239" s="26" t="str">
        <f aca="false">IF(K239&lt;1,"미달",IF(K239&gt;4,"과잉","적정"))</f>
        <v>적정</v>
      </c>
    </row>
    <row r="240" customFormat="false" ht="15" hidden="false" customHeight="true" outlineLevel="0" collapsed="false">
      <c r="A240" s="23" t="n">
        <v>239</v>
      </c>
      <c r="B240" s="23" t="n">
        <f aca="false">ROUND(가정!$B$32*(A240+1)^가정!$B$33,0)</f>
        <v>165</v>
      </c>
      <c r="C240" s="47" t="n">
        <f aca="false">IF(B240&gt;=IFERROR(INDEX(가정!$B$42:$B$50,C239),1000000),C239+1,C239)</f>
        <v>6</v>
      </c>
      <c r="D240" s="25" t="n">
        <f aca="false">가정!$B$34^(C240-1)</f>
        <v>97.65625</v>
      </c>
      <c r="E240" s="25" t="n">
        <f aca="false">(B240/10)^가정!$B$36</f>
        <v>88.7103536801973</v>
      </c>
      <c r="F240" s="24" t="n">
        <f aca="false">IF(C240&gt;C239,(F239+E240)*가정!$B$35,F239+E240)</f>
        <v>6822.88126236882</v>
      </c>
      <c r="G240" s="25" t="n">
        <f aca="false">(1+F240*가정!$B$37)*D240</f>
        <v>13423.5962155641</v>
      </c>
      <c r="H240" s="25" t="n">
        <f aca="false">(1+F240*가정!$B$38)*D240^0.6</f>
        <v>1614.73779586769</v>
      </c>
      <c r="I240" s="48" t="n">
        <f aca="false">가정!$B$5*가정!$B$7*가정!$B$6^(B240-1)/가정!$B$18</f>
        <v>3053044.59865157</v>
      </c>
      <c r="J240" s="48" t="n">
        <f aca="false">(가정!$B$12+가정!$B$15*(LOG(가정!$B$9*가정!$B$7*H240*가정!$B$10^B240/(가정!$B$10-1)*(가정!$B$14-1)/가정!$B$13)/LOG(가정!$B$14)))*G240</f>
        <v>7345646.55324795</v>
      </c>
      <c r="K240" s="49" t="n">
        <f aca="false">IFERROR(J240/I240,0)</f>
        <v>2.40600695990235</v>
      </c>
      <c r="L240" s="25" t="n">
        <f aca="false">A240/가정!$B$39</f>
        <v>79.6666666666667</v>
      </c>
      <c r="M240" s="26" t="str">
        <f aca="false">IF(K240&lt;1,"미달",IF(K240&gt;4,"과잉","적정"))</f>
        <v>적정</v>
      </c>
    </row>
    <row r="241" customFormat="false" ht="15" hidden="false" customHeight="true" outlineLevel="0" collapsed="false">
      <c r="A241" s="27" t="n">
        <v>240</v>
      </c>
      <c r="B241" s="27" t="n">
        <f aca="false">ROUND(가정!$B$32*(A241+1)^가정!$B$33,0)</f>
        <v>165</v>
      </c>
      <c r="C241" s="50" t="n">
        <f aca="false">IF(B241&gt;=IFERROR(INDEX(가정!$B$42:$B$50,C240),1000000),C240+1,C240)</f>
        <v>6</v>
      </c>
      <c r="D241" s="29" t="n">
        <f aca="false">가정!$B$34^(C241-1)</f>
        <v>97.65625</v>
      </c>
      <c r="E241" s="29" t="n">
        <f aca="false">(B241/10)^가정!$B$36</f>
        <v>88.7103536801973</v>
      </c>
      <c r="F241" s="28" t="n">
        <f aca="false">IF(C241&gt;C240,(F240+E241)*가정!$B$35,F240+E241)</f>
        <v>6911.59161604901</v>
      </c>
      <c r="G241" s="29" t="n">
        <f aca="false">(1+F241*가정!$B$37)*D241</f>
        <v>13596.8586250957</v>
      </c>
      <c r="H241" s="29" t="n">
        <f aca="false">(1+F241*가정!$B$38)*D241^0.6</f>
        <v>1635.52928501149</v>
      </c>
      <c r="I241" s="51" t="n">
        <f aca="false">가정!$B$5*가정!$B$7*가정!$B$6^(B241-1)/가정!$B$18</f>
        <v>3053044.59865157</v>
      </c>
      <c r="J241" s="51" t="n">
        <f aca="false">(가정!$B$12+가정!$B$15*(LOG(가정!$B$9*가정!$B$7*H241*가정!$B$10^B241/(가정!$B$10-1)*(가정!$B$14-1)/가정!$B$13)/LOG(가정!$B$14)))*G241</f>
        <v>7445063.95512797</v>
      </c>
      <c r="K241" s="52" t="n">
        <f aca="false">IFERROR(J241/I241,0)</f>
        <v>2.438570323675</v>
      </c>
      <c r="L241" s="29" t="n">
        <f aca="false">A241/가정!$B$39</f>
        <v>80</v>
      </c>
      <c r="M241" s="30" t="str">
        <f aca="false">IF(K241&lt;1,"미달",IF(K241&gt;4,"과잉","적정"))</f>
        <v>적정</v>
      </c>
    </row>
    <row r="242" customFormat="false" ht="15" hidden="false" customHeight="true" outlineLevel="0" collapsed="false">
      <c r="A242" s="23" t="n">
        <v>241</v>
      </c>
      <c r="B242" s="23" t="n">
        <f aca="false">ROUND(가정!$B$32*(A242+1)^가정!$B$33,0)</f>
        <v>165</v>
      </c>
      <c r="C242" s="47" t="n">
        <f aca="false">IF(B242&gt;=IFERROR(INDEX(가정!$B$42:$B$50,C241),1000000),C241+1,C241)</f>
        <v>6</v>
      </c>
      <c r="D242" s="25" t="n">
        <f aca="false">가정!$B$34^(C242-1)</f>
        <v>97.65625</v>
      </c>
      <c r="E242" s="25" t="n">
        <f aca="false">(B242/10)^가정!$B$36</f>
        <v>88.7103536801973</v>
      </c>
      <c r="F242" s="24" t="n">
        <f aca="false">IF(C242&gt;C241,(F241+E242)*가정!$B$35,F241+E242)</f>
        <v>7000.30196972921</v>
      </c>
      <c r="G242" s="25" t="n">
        <f aca="false">(1+F242*가정!$B$37)*D242</f>
        <v>13770.1210346274</v>
      </c>
      <c r="H242" s="25" t="n">
        <f aca="false">(1+F242*가정!$B$38)*D242^0.6</f>
        <v>1656.32077415528</v>
      </c>
      <c r="I242" s="48" t="n">
        <f aca="false">가정!$B$5*가정!$B$7*가정!$B$6^(B242-1)/가정!$B$18</f>
        <v>3053044.59865157</v>
      </c>
      <c r="J242" s="48" t="n">
        <f aca="false">(가정!$B$12+가정!$B$15*(LOG(가정!$B$9*가정!$B$7*H242*가정!$B$10^B242/(가정!$B$10-1)*(가정!$B$14-1)/가정!$B$13)/LOG(가정!$B$14)))*G242</f>
        <v>7544539.80381603</v>
      </c>
      <c r="K242" s="49" t="n">
        <f aca="false">IFERROR(J242/I242,0)</f>
        <v>2.47115283122566</v>
      </c>
      <c r="L242" s="25" t="n">
        <f aca="false">A242/가정!$B$39</f>
        <v>80.3333333333333</v>
      </c>
      <c r="M242" s="26" t="str">
        <f aca="false">IF(K242&lt;1,"미달",IF(K242&gt;4,"과잉","적정"))</f>
        <v>적정</v>
      </c>
    </row>
    <row r="243" customFormat="false" ht="15" hidden="false" customHeight="true" outlineLevel="0" collapsed="false">
      <c r="A243" s="23" t="n">
        <v>242</v>
      </c>
      <c r="B243" s="23" t="n">
        <f aca="false">ROUND(가정!$B$32*(A243+1)^가정!$B$33,0)</f>
        <v>165</v>
      </c>
      <c r="C243" s="47" t="n">
        <f aca="false">IF(B243&gt;=IFERROR(INDEX(가정!$B$42:$B$50,C242),1000000),C242+1,C242)</f>
        <v>6</v>
      </c>
      <c r="D243" s="25" t="n">
        <f aca="false">가정!$B$34^(C243-1)</f>
        <v>97.65625</v>
      </c>
      <c r="E243" s="25" t="n">
        <f aca="false">(B243/10)^가정!$B$36</f>
        <v>88.7103536801973</v>
      </c>
      <c r="F243" s="24" t="n">
        <f aca="false">IF(C243&gt;C242,(F242+E243)*가정!$B$35,F242+E243)</f>
        <v>7089.01232340941</v>
      </c>
      <c r="G243" s="25" t="n">
        <f aca="false">(1+F243*가정!$B$37)*D243</f>
        <v>13943.383444159</v>
      </c>
      <c r="H243" s="25" t="n">
        <f aca="false">(1+F243*가정!$B$38)*D243^0.6</f>
        <v>1677.11226329908</v>
      </c>
      <c r="I243" s="48" t="n">
        <f aca="false">가정!$B$5*가정!$B$7*가정!$B$6^(B243-1)/가정!$B$18</f>
        <v>3053044.59865157</v>
      </c>
      <c r="J243" s="48" t="n">
        <f aca="false">(가정!$B$12+가정!$B$15*(LOG(가정!$B$9*가정!$B$7*H243*가정!$B$10^B243/(가정!$B$10-1)*(가정!$B$14-1)/가정!$B$13)/LOG(가정!$B$14)))*G243</f>
        <v>7644073.36387491</v>
      </c>
      <c r="K243" s="49" t="n">
        <f aca="false">IFERROR(J243/I243,0)</f>
        <v>2.50375424166783</v>
      </c>
      <c r="L243" s="25" t="n">
        <f aca="false">A243/가정!$B$39</f>
        <v>80.6666666666667</v>
      </c>
      <c r="M243" s="26" t="str">
        <f aca="false">IF(K243&lt;1,"미달",IF(K243&gt;4,"과잉","적정"))</f>
        <v>적정</v>
      </c>
    </row>
    <row r="244" customFormat="false" ht="15" hidden="false" customHeight="true" outlineLevel="0" collapsed="false">
      <c r="A244" s="23" t="n">
        <v>243</v>
      </c>
      <c r="B244" s="23" t="n">
        <f aca="false">ROUND(가정!$B$32*(A244+1)^가정!$B$33,0)</f>
        <v>165</v>
      </c>
      <c r="C244" s="47" t="n">
        <f aca="false">IF(B244&gt;=IFERROR(INDEX(가정!$B$42:$B$50,C243),1000000),C243+1,C243)</f>
        <v>6</v>
      </c>
      <c r="D244" s="25" t="n">
        <f aca="false">가정!$B$34^(C244-1)</f>
        <v>97.65625</v>
      </c>
      <c r="E244" s="25" t="n">
        <f aca="false">(B244/10)^가정!$B$36</f>
        <v>88.7103536801973</v>
      </c>
      <c r="F244" s="24" t="n">
        <f aca="false">IF(C244&gt;C243,(F243+E244)*가정!$B$35,F243+E244)</f>
        <v>7177.7226770896</v>
      </c>
      <c r="G244" s="25" t="n">
        <f aca="false">(1+F244*가정!$B$37)*D244</f>
        <v>14116.6458536906</v>
      </c>
      <c r="H244" s="25" t="n">
        <f aca="false">(1+F244*가정!$B$38)*D244^0.6</f>
        <v>1697.90375244288</v>
      </c>
      <c r="I244" s="48" t="n">
        <f aca="false">가정!$B$5*가정!$B$7*가정!$B$6^(B244-1)/가정!$B$18</f>
        <v>3053044.59865157</v>
      </c>
      <c r="J244" s="48" t="n">
        <f aca="false">(가정!$B$12+가정!$B$15*(LOG(가정!$B$9*가정!$B$7*H244*가정!$B$10^B244/(가정!$B$10-1)*(가정!$B$14-1)/가정!$B$13)/LOG(가정!$B$14)))*G244</f>
        <v>7743663.91814581</v>
      </c>
      <c r="K244" s="49" t="n">
        <f aca="false">IFERROR(J244/I244,0)</f>
        <v>2.53637432010195</v>
      </c>
      <c r="L244" s="25" t="n">
        <f aca="false">A244/가정!$B$39</f>
        <v>81</v>
      </c>
      <c r="M244" s="26" t="str">
        <f aca="false">IF(K244&lt;1,"미달",IF(K244&gt;4,"과잉","적정"))</f>
        <v>적정</v>
      </c>
    </row>
    <row r="245" customFormat="false" ht="15" hidden="false" customHeight="true" outlineLevel="0" collapsed="false">
      <c r="A245" s="23" t="n">
        <v>244</v>
      </c>
      <c r="B245" s="23" t="n">
        <f aca="false">ROUND(가정!$B$32*(A245+1)^가정!$B$33,0)</f>
        <v>166</v>
      </c>
      <c r="C245" s="47" t="n">
        <f aca="false">IF(B245&gt;=IFERROR(INDEX(가정!$B$42:$B$50,C244),1000000),C244+1,C244)</f>
        <v>6</v>
      </c>
      <c r="D245" s="25" t="n">
        <f aca="false">가정!$B$34^(C245-1)</f>
        <v>97.65625</v>
      </c>
      <c r="E245" s="25" t="n">
        <f aca="false">(B245/10)^가정!$B$36</f>
        <v>89.5721380697382</v>
      </c>
      <c r="F245" s="24" t="n">
        <f aca="false">IF(C245&gt;C244,(F244+E245)*가정!$B$35,F244+E245)</f>
        <v>7267.29481515934</v>
      </c>
      <c r="G245" s="25" t="n">
        <f aca="false">(1+F245*가정!$B$37)*D245</f>
        <v>14291.5914358581</v>
      </c>
      <c r="H245" s="25" t="n">
        <f aca="false">(1+F245*가정!$B$38)*D245^0.6</f>
        <v>1718.89722230297</v>
      </c>
      <c r="I245" s="48" t="n">
        <f aca="false">가정!$B$5*가정!$B$7*가정!$B$6^(B245-1)/가정!$B$18</f>
        <v>3327818.61253021</v>
      </c>
      <c r="J245" s="48" t="n">
        <f aca="false">(가정!$B$12+가정!$B$15*(LOG(가정!$B$9*가정!$B$7*H245*가정!$B$10^B245/(가정!$B$10-1)*(가정!$B$14-1)/가정!$B$13)/LOG(가정!$B$14)))*G245</f>
        <v>7871639.59132102</v>
      </c>
      <c r="K245" s="49" t="n">
        <f aca="false">IFERROR(J245/I245,0)</f>
        <v>2.36540524224547</v>
      </c>
      <c r="L245" s="25" t="n">
        <f aca="false">A245/가정!$B$39</f>
        <v>81.3333333333333</v>
      </c>
      <c r="M245" s="26" t="str">
        <f aca="false">IF(K245&lt;1,"미달",IF(K245&gt;4,"과잉","적정"))</f>
        <v>적정</v>
      </c>
    </row>
    <row r="246" customFormat="false" ht="15" hidden="false" customHeight="true" outlineLevel="0" collapsed="false">
      <c r="A246" s="23" t="n">
        <v>245</v>
      </c>
      <c r="B246" s="23" t="n">
        <f aca="false">ROUND(가정!$B$32*(A246+1)^가정!$B$33,0)</f>
        <v>166</v>
      </c>
      <c r="C246" s="47" t="n">
        <f aca="false">IF(B246&gt;=IFERROR(INDEX(가정!$B$42:$B$50,C245),1000000),C245+1,C245)</f>
        <v>6</v>
      </c>
      <c r="D246" s="25" t="n">
        <f aca="false">가정!$B$34^(C246-1)</f>
        <v>97.65625</v>
      </c>
      <c r="E246" s="25" t="n">
        <f aca="false">(B246/10)^가정!$B$36</f>
        <v>89.5721380697382</v>
      </c>
      <c r="F246" s="24" t="n">
        <f aca="false">IF(C246&gt;C245,(F245+E246)*가정!$B$35,F245+E246)</f>
        <v>7356.86695322908</v>
      </c>
      <c r="G246" s="25" t="n">
        <f aca="false">(1+F246*가정!$B$37)*D246</f>
        <v>14466.5370180255</v>
      </c>
      <c r="H246" s="25" t="n">
        <f aca="false">(1+F246*가정!$B$38)*D246^0.6</f>
        <v>1739.89069216307</v>
      </c>
      <c r="I246" s="48" t="n">
        <f aca="false">가정!$B$5*가정!$B$7*가정!$B$6^(B246-1)/가정!$B$18</f>
        <v>3327818.61253021</v>
      </c>
      <c r="J246" s="48" t="n">
        <f aca="false">(가정!$B$12+가정!$B$15*(LOG(가정!$B$9*가정!$B$7*H246*가정!$B$10^B246/(가정!$B$10-1)*(가정!$B$14-1)/가정!$B$13)/LOG(가정!$B$14)))*G246</f>
        <v>7972646.35756068</v>
      </c>
      <c r="K246" s="49" t="n">
        <f aca="false">IFERROR(J246/I246,0)</f>
        <v>2.39575748736465</v>
      </c>
      <c r="L246" s="25" t="n">
        <f aca="false">A246/가정!$B$39</f>
        <v>81.6666666666667</v>
      </c>
      <c r="M246" s="26" t="str">
        <f aca="false">IF(K246&lt;1,"미달",IF(K246&gt;4,"과잉","적정"))</f>
        <v>적정</v>
      </c>
    </row>
    <row r="247" customFormat="false" ht="15" hidden="false" customHeight="true" outlineLevel="0" collapsed="false">
      <c r="A247" s="23" t="n">
        <v>246</v>
      </c>
      <c r="B247" s="23" t="n">
        <f aca="false">ROUND(가정!$B$32*(A247+1)^가정!$B$33,0)</f>
        <v>166</v>
      </c>
      <c r="C247" s="47" t="n">
        <f aca="false">IF(B247&gt;=IFERROR(INDEX(가정!$B$42:$B$50,C246),1000000),C246+1,C246)</f>
        <v>6</v>
      </c>
      <c r="D247" s="25" t="n">
        <f aca="false">가정!$B$34^(C247-1)</f>
        <v>97.65625</v>
      </c>
      <c r="E247" s="25" t="n">
        <f aca="false">(B247/10)^가정!$B$36</f>
        <v>89.5721380697382</v>
      </c>
      <c r="F247" s="24" t="n">
        <f aca="false">IF(C247&gt;C246,(F246+E247)*가정!$B$35,F246+E247)</f>
        <v>7446.43909129882</v>
      </c>
      <c r="G247" s="25" t="n">
        <f aca="false">(1+F247*가정!$B$37)*D247</f>
        <v>14641.482600193</v>
      </c>
      <c r="H247" s="25" t="n">
        <f aca="false">(1+F247*가정!$B$38)*D247^0.6</f>
        <v>1760.88416202316</v>
      </c>
      <c r="I247" s="48" t="n">
        <f aca="false">가정!$B$5*가정!$B$7*가정!$B$6^(B247-1)/가정!$B$18</f>
        <v>3327818.61253021</v>
      </c>
      <c r="J247" s="48" t="n">
        <f aca="false">(가정!$B$12+가정!$B$15*(LOG(가정!$B$9*가정!$B$7*H247*가정!$B$10^B247/(가정!$B$10-1)*(가정!$B$14-1)/가정!$B$13)/LOG(가정!$B$14)))*G247</f>
        <v>8073709.12936468</v>
      </c>
      <c r="K247" s="49" t="n">
        <f aca="false">IFERROR(J247/I247,0)</f>
        <v>2.42612656199614</v>
      </c>
      <c r="L247" s="25" t="n">
        <f aca="false">A247/가정!$B$39</f>
        <v>82</v>
      </c>
      <c r="M247" s="26" t="str">
        <f aca="false">IF(K247&lt;1,"미달",IF(K247&gt;4,"과잉","적정"))</f>
        <v>적정</v>
      </c>
    </row>
    <row r="248" customFormat="false" ht="15" hidden="false" customHeight="true" outlineLevel="0" collapsed="false">
      <c r="A248" s="23" t="n">
        <v>247</v>
      </c>
      <c r="B248" s="23" t="n">
        <f aca="false">ROUND(가정!$B$32*(A248+1)^가정!$B$33,0)</f>
        <v>166</v>
      </c>
      <c r="C248" s="47" t="n">
        <f aca="false">IF(B248&gt;=IFERROR(INDEX(가정!$B$42:$B$50,C247),1000000),C247+1,C247)</f>
        <v>6</v>
      </c>
      <c r="D248" s="25" t="n">
        <f aca="false">가정!$B$34^(C248-1)</f>
        <v>97.65625</v>
      </c>
      <c r="E248" s="25" t="n">
        <f aca="false">(B248/10)^가정!$B$36</f>
        <v>89.5721380697382</v>
      </c>
      <c r="F248" s="24" t="n">
        <f aca="false">IF(C248&gt;C247,(F247+E248)*가정!$B$35,F247+E248)</f>
        <v>7536.01122936856</v>
      </c>
      <c r="G248" s="25" t="n">
        <f aca="false">(1+F248*가정!$B$37)*D248</f>
        <v>14816.4281823605</v>
      </c>
      <c r="H248" s="25" t="n">
        <f aca="false">(1+F248*가정!$B$38)*D248^0.6</f>
        <v>1781.87763188326</v>
      </c>
      <c r="I248" s="48" t="n">
        <f aca="false">가정!$B$5*가정!$B$7*가정!$B$6^(B248-1)/가정!$B$18</f>
        <v>3327818.61253021</v>
      </c>
      <c r="J248" s="48" t="n">
        <f aca="false">(가정!$B$12+가정!$B$15*(LOG(가정!$B$9*가정!$B$7*H248*가정!$B$10^B248/(가정!$B$10-1)*(가정!$B$14-1)/가정!$B$13)/LOG(가정!$B$14)))*G248</f>
        <v>8174827.23751812</v>
      </c>
      <c r="K248" s="49" t="n">
        <f aca="false">IFERROR(J248/I248,0)</f>
        <v>2.45651226504278</v>
      </c>
      <c r="L248" s="25" t="n">
        <f aca="false">A248/가정!$B$39</f>
        <v>82.3333333333333</v>
      </c>
      <c r="M248" s="26" t="str">
        <f aca="false">IF(K248&lt;1,"미달",IF(K248&gt;4,"과잉","적정"))</f>
        <v>적정</v>
      </c>
    </row>
    <row r="249" customFormat="false" ht="15" hidden="false" customHeight="true" outlineLevel="0" collapsed="false">
      <c r="A249" s="23" t="n">
        <v>248</v>
      </c>
      <c r="B249" s="23" t="n">
        <f aca="false">ROUND(가정!$B$32*(A249+1)^가정!$B$33,0)</f>
        <v>166</v>
      </c>
      <c r="C249" s="47" t="n">
        <f aca="false">IF(B249&gt;=IFERROR(INDEX(가정!$B$42:$B$50,C248),1000000),C248+1,C248)</f>
        <v>6</v>
      </c>
      <c r="D249" s="25" t="n">
        <f aca="false">가정!$B$34^(C249-1)</f>
        <v>97.65625</v>
      </c>
      <c r="E249" s="25" t="n">
        <f aca="false">(B249/10)^가정!$B$36</f>
        <v>89.5721380697382</v>
      </c>
      <c r="F249" s="24" t="n">
        <f aca="false">IF(C249&gt;C248,(F248+E249)*가정!$B$35,F248+E249)</f>
        <v>7625.5833674383</v>
      </c>
      <c r="G249" s="25" t="n">
        <f aca="false">(1+F249*가정!$B$37)*D249</f>
        <v>14991.3737645279</v>
      </c>
      <c r="H249" s="25" t="n">
        <f aca="false">(1+F249*가정!$B$38)*D249^0.6</f>
        <v>1802.87110174335</v>
      </c>
      <c r="I249" s="48" t="n">
        <f aca="false">가정!$B$5*가정!$B$7*가정!$B$6^(B249-1)/가정!$B$18</f>
        <v>3327818.61253021</v>
      </c>
      <c r="J249" s="48" t="n">
        <f aca="false">(가정!$B$12+가정!$B$15*(LOG(가정!$B$9*가정!$B$7*H249*가정!$B$10^B249/(가정!$B$10-1)*(가정!$B$14-1)/가정!$B$13)/LOG(가정!$B$14)))*G249</f>
        <v>8276000.02861054</v>
      </c>
      <c r="K249" s="49" t="n">
        <f aca="false">IFERROR(J249/I249,0)</f>
        <v>2.4869144001566</v>
      </c>
      <c r="L249" s="25" t="n">
        <f aca="false">A249/가정!$B$39</f>
        <v>82.6666666666667</v>
      </c>
      <c r="M249" s="26" t="str">
        <f aca="false">IF(K249&lt;1,"미달",IF(K249&gt;4,"과잉","적정"))</f>
        <v>적정</v>
      </c>
    </row>
    <row r="250" customFormat="false" ht="15" hidden="false" customHeight="true" outlineLevel="0" collapsed="false">
      <c r="A250" s="23" t="n">
        <v>249</v>
      </c>
      <c r="B250" s="23" t="n">
        <f aca="false">ROUND(가정!$B$32*(A250+1)^가정!$B$33,0)</f>
        <v>166</v>
      </c>
      <c r="C250" s="47" t="n">
        <f aca="false">IF(B250&gt;=IFERROR(INDEX(가정!$B$42:$B$50,C249),1000000),C249+1,C249)</f>
        <v>6</v>
      </c>
      <c r="D250" s="25" t="n">
        <f aca="false">가정!$B$34^(C250-1)</f>
        <v>97.65625</v>
      </c>
      <c r="E250" s="25" t="n">
        <f aca="false">(B250/10)^가정!$B$36</f>
        <v>89.5721380697382</v>
      </c>
      <c r="F250" s="24" t="n">
        <f aca="false">IF(C250&gt;C249,(F249+E250)*가정!$B$35,F249+E250)</f>
        <v>7715.15550550804</v>
      </c>
      <c r="G250" s="25" t="n">
        <f aca="false">(1+F250*가정!$B$37)*D250</f>
        <v>15166.3193466954</v>
      </c>
      <c r="H250" s="25" t="n">
        <f aca="false">(1+F250*가정!$B$38)*D250^0.6</f>
        <v>1823.86457160345</v>
      </c>
      <c r="I250" s="48" t="n">
        <f aca="false">가정!$B$5*가정!$B$7*가정!$B$6^(B250-1)/가정!$B$18</f>
        <v>3327818.61253021</v>
      </c>
      <c r="J250" s="48" t="n">
        <f aca="false">(가정!$B$12+가정!$B$15*(LOG(가정!$B$9*가정!$B$7*H250*가정!$B$10^B250/(가정!$B$10-1)*(가정!$B$14-1)/가정!$B$13)/LOG(가정!$B$14)))*G250</f>
        <v>8377226.86448258</v>
      </c>
      <c r="K250" s="49" t="n">
        <f aca="false">IFERROR(J250/I250,0)</f>
        <v>2.51733277557252</v>
      </c>
      <c r="L250" s="25" t="n">
        <f aca="false">A250/가정!$B$39</f>
        <v>83</v>
      </c>
      <c r="M250" s="26" t="str">
        <f aca="false">IF(K250&lt;1,"미달",IF(K250&gt;4,"과잉","적정"))</f>
        <v>적정</v>
      </c>
    </row>
    <row r="251" customFormat="false" ht="15" hidden="false" customHeight="true" outlineLevel="0" collapsed="false">
      <c r="A251" s="23" t="n">
        <v>250</v>
      </c>
      <c r="B251" s="23" t="n">
        <f aca="false">ROUND(가정!$B$32*(A251+1)^가정!$B$33,0)</f>
        <v>167</v>
      </c>
      <c r="C251" s="47" t="n">
        <f aca="false">IF(B251&gt;=IFERROR(INDEX(가정!$B$42:$B$50,C250),1000000),C250+1,C250)</f>
        <v>6</v>
      </c>
      <c r="D251" s="25" t="n">
        <f aca="false">가정!$B$34^(C251-1)</f>
        <v>97.65625</v>
      </c>
      <c r="E251" s="25" t="n">
        <f aca="false">(B251/10)^가정!$B$36</f>
        <v>90.4370429919462</v>
      </c>
      <c r="F251" s="24" t="n">
        <f aca="false">IF(C251&gt;C250,(F250+E251)*가정!$B$35,F250+E251)</f>
        <v>7805.59254849998</v>
      </c>
      <c r="G251" s="25" t="n">
        <f aca="false">(1+F251*가정!$B$37)*D251</f>
        <v>15342.954196289</v>
      </c>
      <c r="H251" s="25" t="n">
        <f aca="false">(1+F251*가정!$B$38)*D251^0.6</f>
        <v>1845.06075355468</v>
      </c>
      <c r="I251" s="48" t="n">
        <f aca="false">가정!$B$5*가정!$B$7*가정!$B$6^(B251-1)/가정!$B$18</f>
        <v>3627322.28765793</v>
      </c>
      <c r="J251" s="48" t="n">
        <f aca="false">(가정!$B$12+가정!$B$15*(LOG(가정!$B$9*가정!$B$7*H251*가정!$B$10^B251/(가정!$B$10-1)*(가정!$B$14-1)/가정!$B$13)/LOG(가정!$B$14)))*G251</f>
        <v>8508858.6409915</v>
      </c>
      <c r="K251" s="49" t="n">
        <f aca="false">IFERROR(J251/I251,0)</f>
        <v>2.3457685769867</v>
      </c>
      <c r="L251" s="25" t="n">
        <f aca="false">A251/가정!$B$39</f>
        <v>83.3333333333333</v>
      </c>
      <c r="M251" s="26" t="str">
        <f aca="false">IF(K251&lt;1,"미달",IF(K251&gt;4,"과잉","적정"))</f>
        <v>적정</v>
      </c>
    </row>
    <row r="252" customFormat="false" ht="15" hidden="false" customHeight="true" outlineLevel="0" collapsed="false">
      <c r="A252" s="23" t="n">
        <v>251</v>
      </c>
      <c r="B252" s="23" t="n">
        <f aca="false">ROUND(가정!$B$32*(A252+1)^가정!$B$33,0)</f>
        <v>167</v>
      </c>
      <c r="C252" s="47" t="n">
        <f aca="false">IF(B252&gt;=IFERROR(INDEX(가정!$B$42:$B$50,C251),1000000),C251+1,C251)</f>
        <v>6</v>
      </c>
      <c r="D252" s="25" t="n">
        <f aca="false">가정!$B$34^(C252-1)</f>
        <v>97.65625</v>
      </c>
      <c r="E252" s="25" t="n">
        <f aca="false">(B252/10)^가정!$B$36</f>
        <v>90.4370429919462</v>
      </c>
      <c r="F252" s="24" t="n">
        <f aca="false">IF(C252&gt;C251,(F251+E252)*가정!$B$35,F251+E252)</f>
        <v>7896.02959149193</v>
      </c>
      <c r="G252" s="25" t="n">
        <f aca="false">(1+F252*가정!$B$37)*D252</f>
        <v>15519.5890458827</v>
      </c>
      <c r="H252" s="25" t="n">
        <f aca="false">(1+F252*가정!$B$38)*D252^0.6</f>
        <v>1866.25693550592</v>
      </c>
      <c r="I252" s="48" t="n">
        <f aca="false">가정!$B$5*가정!$B$7*가정!$B$6^(B252-1)/가정!$B$18</f>
        <v>3627322.28765793</v>
      </c>
      <c r="J252" s="48" t="n">
        <f aca="false">(가정!$B$12+가정!$B$15*(LOG(가정!$B$9*가정!$B$7*H252*가정!$B$10^B252/(가정!$B$10-1)*(가정!$B$14-1)/가정!$B$13)/LOG(가정!$B$14)))*G252</f>
        <v>8611509.10411395</v>
      </c>
      <c r="K252" s="49" t="n">
        <f aca="false">IFERROR(J252/I252,0)</f>
        <v>2.37406781675145</v>
      </c>
      <c r="L252" s="25" t="n">
        <f aca="false">A252/가정!$B$39</f>
        <v>83.6666666666667</v>
      </c>
      <c r="M252" s="26" t="str">
        <f aca="false">IF(K252&lt;1,"미달",IF(K252&gt;4,"과잉","적정"))</f>
        <v>적정</v>
      </c>
    </row>
    <row r="253" customFormat="false" ht="15" hidden="false" customHeight="true" outlineLevel="0" collapsed="false">
      <c r="A253" s="23" t="n">
        <v>252</v>
      </c>
      <c r="B253" s="23" t="n">
        <f aca="false">ROUND(가정!$B$32*(A253+1)^가정!$B$33,0)</f>
        <v>167</v>
      </c>
      <c r="C253" s="47" t="n">
        <f aca="false">IF(B253&gt;=IFERROR(INDEX(가정!$B$42:$B$50,C252),1000000),C252+1,C252)</f>
        <v>6</v>
      </c>
      <c r="D253" s="25" t="n">
        <f aca="false">가정!$B$34^(C253-1)</f>
        <v>97.65625</v>
      </c>
      <c r="E253" s="25" t="n">
        <f aca="false">(B253/10)^가정!$B$36</f>
        <v>90.4370429919462</v>
      </c>
      <c r="F253" s="24" t="n">
        <f aca="false">IF(C253&gt;C252,(F252+E253)*가정!$B$35,F252+E253)</f>
        <v>7986.46663448387</v>
      </c>
      <c r="G253" s="25" t="n">
        <f aca="false">(1+F253*가정!$B$37)*D253</f>
        <v>15696.2238954763</v>
      </c>
      <c r="H253" s="25" t="n">
        <f aca="false">(1+F253*가정!$B$38)*D253^0.6</f>
        <v>1887.45311745716</v>
      </c>
      <c r="I253" s="48" t="n">
        <f aca="false">가정!$B$5*가정!$B$7*가정!$B$6^(B253-1)/가정!$B$18</f>
        <v>3627322.28765793</v>
      </c>
      <c r="J253" s="48" t="n">
        <f aca="false">(가정!$B$12+가정!$B$15*(LOG(가정!$B$9*가정!$B$7*H253*가정!$B$10^B253/(가정!$B$10-1)*(가정!$B$14-1)/가정!$B$13)/LOG(가정!$B$14)))*G253</f>
        <v>8714212.78559141</v>
      </c>
      <c r="K253" s="49" t="n">
        <f aca="false">IFERROR(J253/I253,0)</f>
        <v>2.40238172804269</v>
      </c>
      <c r="L253" s="25" t="n">
        <f aca="false">A253/가정!$B$39</f>
        <v>84</v>
      </c>
      <c r="M253" s="26" t="str">
        <f aca="false">IF(K253&lt;1,"미달",IF(K253&gt;4,"과잉","적정"))</f>
        <v>적정</v>
      </c>
    </row>
    <row r="254" customFormat="false" ht="15" hidden="false" customHeight="true" outlineLevel="0" collapsed="false">
      <c r="A254" s="23" t="n">
        <v>253</v>
      </c>
      <c r="B254" s="23" t="n">
        <f aca="false">ROUND(가정!$B$32*(A254+1)^가정!$B$33,0)</f>
        <v>167</v>
      </c>
      <c r="C254" s="47" t="n">
        <f aca="false">IF(B254&gt;=IFERROR(INDEX(가정!$B$42:$B$50,C253),1000000),C253+1,C253)</f>
        <v>6</v>
      </c>
      <c r="D254" s="25" t="n">
        <f aca="false">가정!$B$34^(C254-1)</f>
        <v>97.65625</v>
      </c>
      <c r="E254" s="25" t="n">
        <f aca="false">(B254/10)^가정!$B$36</f>
        <v>90.4370429919462</v>
      </c>
      <c r="F254" s="24" t="n">
        <f aca="false">IF(C254&gt;C253,(F253+E254)*가정!$B$35,F253+E254)</f>
        <v>8076.90367747582</v>
      </c>
      <c r="G254" s="25" t="n">
        <f aca="false">(1+F254*가정!$B$37)*D254</f>
        <v>15872.85874507</v>
      </c>
      <c r="H254" s="25" t="n">
        <f aca="false">(1+F254*가정!$B$38)*D254^0.6</f>
        <v>1908.6492994084</v>
      </c>
      <c r="I254" s="48" t="n">
        <f aca="false">가정!$B$5*가정!$B$7*가정!$B$6^(B254-1)/가정!$B$18</f>
        <v>3627322.28765793</v>
      </c>
      <c r="J254" s="48" t="n">
        <f aca="false">(가정!$B$12+가정!$B$15*(LOG(가정!$B$9*가정!$B$7*H254*가정!$B$10^B254/(가정!$B$10-1)*(가정!$B$14-1)/가정!$B$13)/LOG(가정!$B$14)))*G254</f>
        <v>8816969.0865197</v>
      </c>
      <c r="K254" s="49" t="n">
        <f aca="false">IFERROR(J254/I254,0)</f>
        <v>2.43071014575123</v>
      </c>
      <c r="L254" s="25" t="n">
        <f aca="false">A254/가정!$B$39</f>
        <v>84.3333333333333</v>
      </c>
      <c r="M254" s="26" t="str">
        <f aca="false">IF(K254&lt;1,"미달",IF(K254&gt;4,"과잉","적정"))</f>
        <v>적정</v>
      </c>
    </row>
    <row r="255" customFormat="false" ht="15" hidden="false" customHeight="true" outlineLevel="0" collapsed="false">
      <c r="A255" s="23" t="n">
        <v>254</v>
      </c>
      <c r="B255" s="23" t="n">
        <f aca="false">ROUND(가정!$B$32*(A255+1)^가정!$B$33,0)</f>
        <v>167</v>
      </c>
      <c r="C255" s="47" t="n">
        <f aca="false">IF(B255&gt;=IFERROR(INDEX(가정!$B$42:$B$50,C254),1000000),C254+1,C254)</f>
        <v>6</v>
      </c>
      <c r="D255" s="25" t="n">
        <f aca="false">가정!$B$34^(C255-1)</f>
        <v>97.65625</v>
      </c>
      <c r="E255" s="25" t="n">
        <f aca="false">(B255/10)^가정!$B$36</f>
        <v>90.4370429919462</v>
      </c>
      <c r="F255" s="24" t="n">
        <f aca="false">IF(C255&gt;C254,(F254+E255)*가정!$B$35,F254+E255)</f>
        <v>8167.34072046777</v>
      </c>
      <c r="G255" s="25" t="n">
        <f aca="false">(1+F255*가정!$B$37)*D255</f>
        <v>16049.4935946636</v>
      </c>
      <c r="H255" s="25" t="n">
        <f aca="false">(1+F255*가정!$B$38)*D255^0.6</f>
        <v>1929.84548135963</v>
      </c>
      <c r="I255" s="48" t="n">
        <f aca="false">가정!$B$5*가정!$B$7*가정!$B$6^(B255-1)/가정!$B$18</f>
        <v>3627322.28765793</v>
      </c>
      <c r="J255" s="48" t="n">
        <f aca="false">(가정!$B$12+가정!$B$15*(LOG(가정!$B$9*가정!$B$7*H255*가정!$B$10^B255/(가정!$B$10-1)*(가정!$B$14-1)/가정!$B$13)/LOG(가정!$B$14)))*G255</f>
        <v>8919777.42132461</v>
      </c>
      <c r="K255" s="49" t="n">
        <f aca="false">IFERROR(J255/I255,0)</f>
        <v>2.4590529084428</v>
      </c>
      <c r="L255" s="25" t="n">
        <f aca="false">A255/가정!$B$39</f>
        <v>84.6666666666667</v>
      </c>
      <c r="M255" s="26" t="str">
        <f aca="false">IF(K255&lt;1,"미달",IF(K255&gt;4,"과잉","적정"))</f>
        <v>적정</v>
      </c>
    </row>
    <row r="256" customFormat="false" ht="15" hidden="false" customHeight="true" outlineLevel="0" collapsed="false">
      <c r="A256" s="23" t="n">
        <v>255</v>
      </c>
      <c r="B256" s="23" t="n">
        <f aca="false">ROUND(가정!$B$32*(A256+1)^가정!$B$33,0)</f>
        <v>168</v>
      </c>
      <c r="C256" s="47" t="n">
        <f aca="false">IF(B256&gt;=IFERROR(INDEX(가정!$B$42:$B$50,C255),1000000),C255+1,C255)</f>
        <v>6</v>
      </c>
      <c r="D256" s="25" t="n">
        <f aca="false">가정!$B$34^(C256-1)</f>
        <v>97.65625</v>
      </c>
      <c r="E256" s="25" t="n">
        <f aca="false">(B256/10)^가정!$B$36</f>
        <v>91.3050609589585</v>
      </c>
      <c r="F256" s="24" t="n">
        <f aca="false">IF(C256&gt;C255,(F255+E256)*가정!$B$35,F255+E256)</f>
        <v>8258.64578142673</v>
      </c>
      <c r="G256" s="25" t="n">
        <f aca="false">(1+F256*가정!$B$37)*D256</f>
        <v>16227.8237918491</v>
      </c>
      <c r="H256" s="25" t="n">
        <f aca="false">(1+F256*가정!$B$38)*D256^0.6</f>
        <v>1951.24510502189</v>
      </c>
      <c r="I256" s="48" t="n">
        <f aca="false">가정!$B$5*가정!$B$7*가정!$B$6^(B256-1)/가정!$B$18</f>
        <v>3953781.29354715</v>
      </c>
      <c r="J256" s="48" t="n">
        <f aca="false">(가정!$B$12+가정!$B$15*(LOG(가정!$B$9*가정!$B$7*H256*가정!$B$10^B256/(가정!$B$10-1)*(가정!$B$14-1)/가정!$B$13)/LOG(가정!$B$14)))*G256</f>
        <v>9054692.05734781</v>
      </c>
      <c r="K256" s="49" t="n">
        <f aca="false">IFERROR(J256/I256,0)</f>
        <v>2.29013478113362</v>
      </c>
      <c r="L256" s="25" t="n">
        <f aca="false">A256/가정!$B$39</f>
        <v>85</v>
      </c>
      <c r="M256" s="26" t="str">
        <f aca="false">IF(K256&lt;1,"미달",IF(K256&gt;4,"과잉","적정"))</f>
        <v>적정</v>
      </c>
    </row>
    <row r="257" customFormat="false" ht="15" hidden="false" customHeight="true" outlineLevel="0" collapsed="false">
      <c r="A257" s="23" t="n">
        <v>256</v>
      </c>
      <c r="B257" s="23" t="n">
        <f aca="false">ROUND(가정!$B$32*(A257+1)^가정!$B$33,0)</f>
        <v>168</v>
      </c>
      <c r="C257" s="47" t="n">
        <f aca="false">IF(B257&gt;=IFERROR(INDEX(가정!$B$42:$B$50,C256),1000000),C256+1,C256)</f>
        <v>6</v>
      </c>
      <c r="D257" s="25" t="n">
        <f aca="false">가정!$B$34^(C257-1)</f>
        <v>97.65625</v>
      </c>
      <c r="E257" s="25" t="n">
        <f aca="false">(B257/10)^가정!$B$36</f>
        <v>91.3050609589585</v>
      </c>
      <c r="F257" s="24" t="n">
        <f aca="false">IF(C257&gt;C256,(F256+E257)*가정!$B$35,F256+E257)</f>
        <v>8349.95084238568</v>
      </c>
      <c r="G257" s="25" t="n">
        <f aca="false">(1+F257*가정!$B$37)*D257</f>
        <v>16406.1539890345</v>
      </c>
      <c r="H257" s="25" t="n">
        <f aca="false">(1+F257*가정!$B$38)*D257^0.6</f>
        <v>1972.64472868414</v>
      </c>
      <c r="I257" s="48" t="n">
        <f aca="false">가정!$B$5*가정!$B$7*가정!$B$6^(B257-1)/가정!$B$18</f>
        <v>3953781.29354715</v>
      </c>
      <c r="J257" s="48" t="n">
        <f aca="false">(가정!$B$12+가정!$B$15*(LOG(가정!$B$9*가정!$B$7*H257*가정!$B$10^B257/(가정!$B$10-1)*(가정!$B$14-1)/가정!$B$13)/LOG(가정!$B$14)))*G257</f>
        <v>9158932.63427052</v>
      </c>
      <c r="K257" s="49" t="n">
        <f aca="false">IFERROR(J257/I257,0)</f>
        <v>2.3164995618798</v>
      </c>
      <c r="L257" s="25" t="n">
        <f aca="false">A257/가정!$B$39</f>
        <v>85.3333333333333</v>
      </c>
      <c r="M257" s="26" t="str">
        <f aca="false">IF(K257&lt;1,"미달",IF(K257&gt;4,"과잉","적정"))</f>
        <v>적정</v>
      </c>
    </row>
    <row r="258" customFormat="false" ht="15" hidden="false" customHeight="true" outlineLevel="0" collapsed="false">
      <c r="A258" s="23" t="n">
        <v>257</v>
      </c>
      <c r="B258" s="23" t="n">
        <f aca="false">ROUND(가정!$B$32*(A258+1)^가정!$B$33,0)</f>
        <v>168</v>
      </c>
      <c r="C258" s="47" t="n">
        <f aca="false">IF(B258&gt;=IFERROR(INDEX(가정!$B$42:$B$50,C257),1000000),C257+1,C257)</f>
        <v>6</v>
      </c>
      <c r="D258" s="25" t="n">
        <f aca="false">가정!$B$34^(C258-1)</f>
        <v>97.65625</v>
      </c>
      <c r="E258" s="25" t="n">
        <f aca="false">(B258/10)^가정!$B$36</f>
        <v>91.3050609589585</v>
      </c>
      <c r="F258" s="24" t="n">
        <f aca="false">IF(C258&gt;C257,(F257+E258)*가정!$B$35,F257+E258)</f>
        <v>8441.25590334464</v>
      </c>
      <c r="G258" s="25" t="n">
        <f aca="false">(1+F258*가정!$B$37)*D258</f>
        <v>16584.48418622</v>
      </c>
      <c r="H258" s="25" t="n">
        <f aca="false">(1+F258*가정!$B$38)*D258^0.6</f>
        <v>1994.0443523464</v>
      </c>
      <c r="I258" s="48" t="n">
        <f aca="false">가정!$B$5*가정!$B$7*가정!$B$6^(B258-1)/가정!$B$18</f>
        <v>3953781.29354715</v>
      </c>
      <c r="J258" s="48" t="n">
        <f aca="false">(가정!$B$12+가정!$B$15*(LOG(가정!$B$9*가정!$B$7*H258*가정!$B$10^B258/(가정!$B$10-1)*(가정!$B$14-1)/가정!$B$13)/LOG(가정!$B$14)))*G258</f>
        <v>9263224.52464729</v>
      </c>
      <c r="K258" s="49" t="n">
        <f aca="false">IFERROR(J258/I258,0)</f>
        <v>2.34287732094983</v>
      </c>
      <c r="L258" s="25" t="n">
        <f aca="false">A258/가정!$B$39</f>
        <v>85.6666666666667</v>
      </c>
      <c r="M258" s="26" t="str">
        <f aca="false">IF(K258&lt;1,"미달",IF(K258&gt;4,"과잉","적정"))</f>
        <v>적정</v>
      </c>
    </row>
    <row r="259" customFormat="false" ht="15" hidden="false" customHeight="true" outlineLevel="0" collapsed="false">
      <c r="A259" s="23" t="n">
        <v>258</v>
      </c>
      <c r="B259" s="23" t="n">
        <f aca="false">ROUND(가정!$B$32*(A259+1)^가정!$B$33,0)</f>
        <v>168</v>
      </c>
      <c r="C259" s="47" t="n">
        <f aca="false">IF(B259&gt;=IFERROR(INDEX(가정!$B$42:$B$50,C258),1000000),C258+1,C258)</f>
        <v>6</v>
      </c>
      <c r="D259" s="25" t="n">
        <f aca="false">가정!$B$34^(C259-1)</f>
        <v>97.65625</v>
      </c>
      <c r="E259" s="25" t="n">
        <f aca="false">(B259/10)^가정!$B$36</f>
        <v>91.3050609589585</v>
      </c>
      <c r="F259" s="24" t="n">
        <f aca="false">IF(C259&gt;C258,(F258+E259)*가정!$B$35,F258+E259)</f>
        <v>8532.5609643036</v>
      </c>
      <c r="G259" s="25" t="n">
        <f aca="false">(1+F259*가정!$B$37)*D259</f>
        <v>16762.8143834055</v>
      </c>
      <c r="H259" s="25" t="n">
        <f aca="false">(1+F259*가정!$B$38)*D259^0.6</f>
        <v>2015.44397600866</v>
      </c>
      <c r="I259" s="48" t="n">
        <f aca="false">가정!$B$5*가정!$B$7*가정!$B$6^(B259-1)/가정!$B$18</f>
        <v>3953781.29354715</v>
      </c>
      <c r="J259" s="48" t="n">
        <f aca="false">(가정!$B$12+가정!$B$15*(LOG(가정!$B$9*가정!$B$7*H259*가정!$B$10^B259/(가정!$B$10-1)*(가정!$B$14-1)/가정!$B$13)/LOG(가정!$B$14)))*G259</f>
        <v>9367567.17669598</v>
      </c>
      <c r="K259" s="49" t="n">
        <f aca="false">IFERROR(J259/I259,0)</f>
        <v>2.36926791878562</v>
      </c>
      <c r="L259" s="25" t="n">
        <f aca="false">A259/가정!$B$39</f>
        <v>86</v>
      </c>
      <c r="M259" s="26" t="str">
        <f aca="false">IF(K259&lt;1,"미달",IF(K259&gt;4,"과잉","적정"))</f>
        <v>적정</v>
      </c>
    </row>
    <row r="260" customFormat="false" ht="15" hidden="false" customHeight="true" outlineLevel="0" collapsed="false">
      <c r="A260" s="23" t="n">
        <v>259</v>
      </c>
      <c r="B260" s="23" t="n">
        <f aca="false">ROUND(가정!$B$32*(A260+1)^가정!$B$33,0)</f>
        <v>168</v>
      </c>
      <c r="C260" s="47" t="n">
        <f aca="false">IF(B260&gt;=IFERROR(INDEX(가정!$B$42:$B$50,C259),1000000),C259+1,C259)</f>
        <v>6</v>
      </c>
      <c r="D260" s="25" t="n">
        <f aca="false">가정!$B$34^(C260-1)</f>
        <v>97.65625</v>
      </c>
      <c r="E260" s="25" t="n">
        <f aca="false">(B260/10)^가정!$B$36</f>
        <v>91.3050609589585</v>
      </c>
      <c r="F260" s="24" t="n">
        <f aca="false">IF(C260&gt;C259,(F259+E260)*가정!$B$35,F259+E260)</f>
        <v>8623.86602526256</v>
      </c>
      <c r="G260" s="25" t="n">
        <f aca="false">(1+F260*가정!$B$37)*D260</f>
        <v>16941.1445805909</v>
      </c>
      <c r="H260" s="25" t="n">
        <f aca="false">(1+F260*가정!$B$38)*D260^0.6</f>
        <v>2036.84359967091</v>
      </c>
      <c r="I260" s="48" t="n">
        <f aca="false">가정!$B$5*가정!$B$7*가정!$B$6^(B260-1)/가정!$B$18</f>
        <v>3953781.29354715</v>
      </c>
      <c r="J260" s="48" t="n">
        <f aca="false">(가정!$B$12+가정!$B$15*(LOG(가정!$B$9*가정!$B$7*H260*가정!$B$10^B260/(가정!$B$10-1)*(가정!$B$14-1)/가정!$B$13)/LOG(가정!$B$14)))*G260</f>
        <v>9471960.05037513</v>
      </c>
      <c r="K260" s="49" t="n">
        <f aca="false">IFERROR(J260/I260,0)</f>
        <v>2.39567121879858</v>
      </c>
      <c r="L260" s="25" t="n">
        <f aca="false">A260/가정!$B$39</f>
        <v>86.3333333333333</v>
      </c>
      <c r="M260" s="26" t="str">
        <f aca="false">IF(K260&lt;1,"미달",IF(K260&gt;4,"과잉","적정"))</f>
        <v>적정</v>
      </c>
    </row>
    <row r="261" customFormat="false" ht="15" hidden="false" customHeight="true" outlineLevel="0" collapsed="false">
      <c r="A261" s="23" t="n">
        <v>260</v>
      </c>
      <c r="B261" s="23" t="n">
        <f aca="false">ROUND(가정!$B$32*(A261+1)^가정!$B$33,0)</f>
        <v>168</v>
      </c>
      <c r="C261" s="47" t="n">
        <f aca="false">IF(B261&gt;=IFERROR(INDEX(가정!$B$42:$B$50,C260),1000000),C260+1,C260)</f>
        <v>6</v>
      </c>
      <c r="D261" s="25" t="n">
        <f aca="false">가정!$B$34^(C261-1)</f>
        <v>97.65625</v>
      </c>
      <c r="E261" s="25" t="n">
        <f aca="false">(B261/10)^가정!$B$36</f>
        <v>91.3050609589585</v>
      </c>
      <c r="F261" s="24" t="n">
        <f aca="false">IF(C261&gt;C260,(F260+E261)*가정!$B$35,F260+E261)</f>
        <v>8715.17108622152</v>
      </c>
      <c r="G261" s="25" t="n">
        <f aca="false">(1+F261*가정!$B$37)*D261</f>
        <v>17119.4747777764</v>
      </c>
      <c r="H261" s="25" t="n">
        <f aca="false">(1+F261*가정!$B$38)*D261^0.6</f>
        <v>2058.24322333317</v>
      </c>
      <c r="I261" s="48" t="n">
        <f aca="false">가정!$B$5*가정!$B$7*가정!$B$6^(B261-1)/가정!$B$18</f>
        <v>3953781.29354715</v>
      </c>
      <c r="J261" s="48" t="n">
        <f aca="false">(가정!$B$12+가정!$B$15*(LOG(가정!$B$9*가정!$B$7*H261*가정!$B$10^B261/(가정!$B$10-1)*(가정!$B$14-1)/가정!$B$13)/LOG(가정!$B$14)))*G261</f>
        <v>9576402.6170133</v>
      </c>
      <c r="K261" s="49" t="n">
        <f aca="false">IFERROR(J261/I261,0)</f>
        <v>2.42208708727584</v>
      </c>
      <c r="L261" s="25" t="n">
        <f aca="false">A261/가정!$B$39</f>
        <v>86.6666666666667</v>
      </c>
      <c r="M261" s="26" t="str">
        <f aca="false">IF(K261&lt;1,"미달",IF(K261&gt;4,"과잉","적정"))</f>
        <v>적정</v>
      </c>
    </row>
    <row r="262" customFormat="false" ht="15" hidden="false" customHeight="true" outlineLevel="0" collapsed="false">
      <c r="A262" s="23" t="n">
        <v>261</v>
      </c>
      <c r="B262" s="23" t="n">
        <f aca="false">ROUND(가정!$B$32*(A262+1)^가정!$B$33,0)</f>
        <v>169</v>
      </c>
      <c r="C262" s="47" t="n">
        <f aca="false">IF(B262&gt;=IFERROR(INDEX(가정!$B$42:$B$50,C261),1000000),C261+1,C261)</f>
        <v>6</v>
      </c>
      <c r="D262" s="25" t="n">
        <f aca="false">가정!$B$34^(C262-1)</f>
        <v>97.65625</v>
      </c>
      <c r="E262" s="25" t="n">
        <f aca="false">(B262/10)^가정!$B$36</f>
        <v>92.1761845454241</v>
      </c>
      <c r="F262" s="24" t="n">
        <f aca="false">IF(C262&gt;C261,(F261+E262)*가정!$B$35,F261+E262)</f>
        <v>8807.34727076694</v>
      </c>
      <c r="G262" s="25" t="n">
        <f aca="false">(1+F262*가정!$B$37)*D262</f>
        <v>17299.5063882167</v>
      </c>
      <c r="H262" s="25" t="n">
        <f aca="false">(1+F262*가정!$B$38)*D262^0.6</f>
        <v>2079.847016586</v>
      </c>
      <c r="I262" s="48" t="n">
        <f aca="false">가정!$B$5*가정!$B$7*가정!$B$6^(B262-1)/가정!$B$18</f>
        <v>4309621.60996639</v>
      </c>
      <c r="J262" s="48" t="n">
        <f aca="false">(가정!$B$12+가정!$B$15*(LOG(가정!$B$9*가정!$B$7*H262*가정!$B$10^B262/(가정!$B$10-1)*(가정!$B$14-1)/가정!$B$13)/LOG(가정!$B$14)))*G262</f>
        <v>9715010.55141222</v>
      </c>
      <c r="K262" s="49" t="n">
        <f aca="false">IFERROR(J262/I262,0)</f>
        <v>2.25426068241012</v>
      </c>
      <c r="L262" s="25" t="n">
        <f aca="false">A262/가정!$B$39</f>
        <v>87</v>
      </c>
      <c r="M262" s="26" t="str">
        <f aca="false">IF(K262&lt;1,"미달",IF(K262&gt;4,"과잉","적정"))</f>
        <v>적정</v>
      </c>
    </row>
    <row r="263" customFormat="false" ht="15" hidden="false" customHeight="true" outlineLevel="0" collapsed="false">
      <c r="A263" s="23" t="n">
        <v>262</v>
      </c>
      <c r="B263" s="23" t="n">
        <f aca="false">ROUND(가정!$B$32*(A263+1)^가정!$B$33,0)</f>
        <v>169</v>
      </c>
      <c r="C263" s="47" t="n">
        <f aca="false">IF(B263&gt;=IFERROR(INDEX(가정!$B$42:$B$50,C262),1000000),C262+1,C262)</f>
        <v>6</v>
      </c>
      <c r="D263" s="25" t="n">
        <f aca="false">가정!$B$34^(C263-1)</f>
        <v>97.65625</v>
      </c>
      <c r="E263" s="25" t="n">
        <f aca="false">(B263/10)^가정!$B$36</f>
        <v>92.1761845454241</v>
      </c>
      <c r="F263" s="24" t="n">
        <f aca="false">IF(C263&gt;C262,(F262+E263)*가정!$B$35,F262+E263)</f>
        <v>8899.52345531237</v>
      </c>
      <c r="G263" s="25" t="n">
        <f aca="false">(1+F263*가정!$B$37)*D263</f>
        <v>17479.537998657</v>
      </c>
      <c r="H263" s="25" t="n">
        <f aca="false">(1+F263*가정!$B$38)*D263^0.6</f>
        <v>2101.45080983884</v>
      </c>
      <c r="I263" s="48" t="n">
        <f aca="false">가정!$B$5*가정!$B$7*가정!$B$6^(B263-1)/가정!$B$18</f>
        <v>4309621.60996639</v>
      </c>
      <c r="J263" s="48" t="n">
        <f aca="false">(가정!$B$12+가정!$B$15*(LOG(가정!$B$9*가정!$B$7*H263*가정!$B$10^B263/(가정!$B$10-1)*(가정!$B$14-1)/가정!$B$13)/LOG(가정!$B$14)))*G263</f>
        <v>9820893.72153125</v>
      </c>
      <c r="K263" s="49" t="n">
        <f aca="false">IFERROR(J263/I263,0)</f>
        <v>2.27882970022694</v>
      </c>
      <c r="L263" s="25" t="n">
        <f aca="false">A263/가정!$B$39</f>
        <v>87.3333333333333</v>
      </c>
      <c r="M263" s="26" t="str">
        <f aca="false">IF(K263&lt;1,"미달",IF(K263&gt;4,"과잉","적정"))</f>
        <v>적정</v>
      </c>
    </row>
    <row r="264" customFormat="false" ht="15" hidden="false" customHeight="true" outlineLevel="0" collapsed="false">
      <c r="A264" s="23" t="n">
        <v>263</v>
      </c>
      <c r="B264" s="23" t="n">
        <f aca="false">ROUND(가정!$B$32*(A264+1)^가정!$B$33,0)</f>
        <v>169</v>
      </c>
      <c r="C264" s="47" t="n">
        <f aca="false">IF(B264&gt;=IFERROR(INDEX(가정!$B$42:$B$50,C263),1000000),C263+1,C263)</f>
        <v>6</v>
      </c>
      <c r="D264" s="25" t="n">
        <f aca="false">가정!$B$34^(C264-1)</f>
        <v>97.65625</v>
      </c>
      <c r="E264" s="25" t="n">
        <f aca="false">(B264/10)^가정!$B$36</f>
        <v>92.1761845454241</v>
      </c>
      <c r="F264" s="24" t="n">
        <f aca="false">IF(C264&gt;C263,(F263+E264)*가정!$B$35,F263+E264)</f>
        <v>8991.69963985779</v>
      </c>
      <c r="G264" s="25" t="n">
        <f aca="false">(1+F264*가정!$B$37)*D264</f>
        <v>17659.5696090973</v>
      </c>
      <c r="H264" s="25" t="n">
        <f aca="false">(1+F264*가정!$B$38)*D264^0.6</f>
        <v>2123.05460309167</v>
      </c>
      <c r="I264" s="48" t="n">
        <f aca="false">가정!$B$5*가정!$B$7*가정!$B$6^(B264-1)/가정!$B$18</f>
        <v>4309621.60996639</v>
      </c>
      <c r="J264" s="48" t="n">
        <f aca="false">(가정!$B$12+가정!$B$15*(LOG(가정!$B$9*가정!$B$7*H264*가정!$B$10^B264/(가정!$B$10-1)*(가정!$B$14-1)/가정!$B$13)/LOG(가정!$B$14)))*G264</f>
        <v>9926825.97737022</v>
      </c>
      <c r="K264" s="49" t="n">
        <f aca="false">IFERROR(J264/I264,0)</f>
        <v>2.30341010784184</v>
      </c>
      <c r="L264" s="25" t="n">
        <f aca="false">A264/가정!$B$39</f>
        <v>87.6666666666667</v>
      </c>
      <c r="M264" s="26" t="str">
        <f aca="false">IF(K264&lt;1,"미달",IF(K264&gt;4,"과잉","적정"))</f>
        <v>적정</v>
      </c>
    </row>
    <row r="265" customFormat="false" ht="15" hidden="false" customHeight="true" outlineLevel="0" collapsed="false">
      <c r="A265" s="23" t="n">
        <v>264</v>
      </c>
      <c r="B265" s="23" t="n">
        <f aca="false">ROUND(가정!$B$32*(A265+1)^가정!$B$33,0)</f>
        <v>169</v>
      </c>
      <c r="C265" s="47" t="n">
        <f aca="false">IF(B265&gt;=IFERROR(INDEX(가정!$B$42:$B$50,C264),1000000),C264+1,C264)</f>
        <v>6</v>
      </c>
      <c r="D265" s="25" t="n">
        <f aca="false">가정!$B$34^(C265-1)</f>
        <v>97.65625</v>
      </c>
      <c r="E265" s="25" t="n">
        <f aca="false">(B265/10)^가정!$B$36</f>
        <v>92.1761845454241</v>
      </c>
      <c r="F265" s="24" t="n">
        <f aca="false">IF(C265&gt;C264,(F264+E265)*가정!$B$35,F264+E265)</f>
        <v>9083.87582440322</v>
      </c>
      <c r="G265" s="25" t="n">
        <f aca="false">(1+F265*가정!$B$37)*D265</f>
        <v>17839.6012195375</v>
      </c>
      <c r="H265" s="25" t="n">
        <f aca="false">(1+F265*가정!$B$38)*D265^0.6</f>
        <v>2144.6583963445</v>
      </c>
      <c r="I265" s="48" t="n">
        <f aca="false">가정!$B$5*가정!$B$7*가정!$B$6^(B265-1)/가정!$B$18</f>
        <v>4309621.60996639</v>
      </c>
      <c r="J265" s="48" t="n">
        <f aca="false">(가정!$B$12+가정!$B$15*(LOG(가정!$B$9*가정!$B$7*H265*가정!$B$10^B265/(가정!$B$10-1)*(가정!$B$14-1)/가정!$B$13)/LOG(가정!$B$14)))*G265</f>
        <v>10032806.8185076</v>
      </c>
      <c r="K265" s="49" t="n">
        <f aca="false">IFERROR(J265/I265,0)</f>
        <v>2.32800178913755</v>
      </c>
      <c r="L265" s="25" t="n">
        <f aca="false">A265/가정!$B$39</f>
        <v>88</v>
      </c>
      <c r="M265" s="26" t="str">
        <f aca="false">IF(K265&lt;1,"미달",IF(K265&gt;4,"과잉","적정"))</f>
        <v>적정</v>
      </c>
    </row>
    <row r="266" customFormat="false" ht="15" hidden="false" customHeight="true" outlineLevel="0" collapsed="false">
      <c r="A266" s="23" t="n">
        <v>265</v>
      </c>
      <c r="B266" s="23" t="n">
        <f aca="false">ROUND(가정!$B$32*(A266+1)^가정!$B$33,0)</f>
        <v>169</v>
      </c>
      <c r="C266" s="47" t="n">
        <f aca="false">IF(B266&gt;=IFERROR(INDEX(가정!$B$42:$B$50,C265),1000000),C265+1,C265)</f>
        <v>6</v>
      </c>
      <c r="D266" s="25" t="n">
        <f aca="false">가정!$B$34^(C266-1)</f>
        <v>97.65625</v>
      </c>
      <c r="E266" s="25" t="n">
        <f aca="false">(B266/10)^가정!$B$36</f>
        <v>92.1761845454241</v>
      </c>
      <c r="F266" s="24" t="n">
        <f aca="false">IF(C266&gt;C265,(F265+E266)*가정!$B$35,F265+E266)</f>
        <v>9176.05200894864</v>
      </c>
      <c r="G266" s="25" t="n">
        <f aca="false">(1+F266*가정!$B$37)*D266</f>
        <v>18019.6328299778</v>
      </c>
      <c r="H266" s="25" t="n">
        <f aca="false">(1+F266*가정!$B$38)*D266^0.6</f>
        <v>2166.26218959734</v>
      </c>
      <c r="I266" s="48" t="n">
        <f aca="false">가정!$B$5*가정!$B$7*가정!$B$6^(B266-1)/가정!$B$18</f>
        <v>4309621.60996639</v>
      </c>
      <c r="J266" s="48" t="n">
        <f aca="false">(가정!$B$12+가정!$B$15*(LOG(가정!$B$9*가정!$B$7*H266*가정!$B$10^B266/(가정!$B$10-1)*(가정!$B$14-1)/가정!$B$13)/LOG(가정!$B$14)))*G266</f>
        <v>10138835.7546224</v>
      </c>
      <c r="K266" s="49" t="n">
        <f aca="false">IFERROR(J266/I266,0)</f>
        <v>2.35260463034051</v>
      </c>
      <c r="L266" s="25" t="n">
        <f aca="false">A266/가정!$B$39</f>
        <v>88.3333333333333</v>
      </c>
      <c r="M266" s="26" t="str">
        <f aca="false">IF(K266&lt;1,"미달",IF(K266&gt;4,"과잉","적정"))</f>
        <v>적정</v>
      </c>
    </row>
    <row r="267" customFormat="false" ht="15" hidden="false" customHeight="true" outlineLevel="0" collapsed="false">
      <c r="A267" s="23" t="n">
        <v>266</v>
      </c>
      <c r="B267" s="23" t="n">
        <f aca="false">ROUND(가정!$B$32*(A267+1)^가정!$B$33,0)</f>
        <v>169</v>
      </c>
      <c r="C267" s="47" t="n">
        <f aca="false">IF(B267&gt;=IFERROR(INDEX(가정!$B$42:$B$50,C266),1000000),C266+1,C266)</f>
        <v>6</v>
      </c>
      <c r="D267" s="25" t="n">
        <f aca="false">가정!$B$34^(C267-1)</f>
        <v>97.65625</v>
      </c>
      <c r="E267" s="25" t="n">
        <f aca="false">(B267/10)^가정!$B$36</f>
        <v>92.1761845454241</v>
      </c>
      <c r="F267" s="24" t="n">
        <f aca="false">IF(C267&gt;C266,(F266+E267)*가정!$B$35,F266+E267)</f>
        <v>9268.22819349406</v>
      </c>
      <c r="G267" s="25" t="n">
        <f aca="false">(1+F267*가정!$B$37)*D267</f>
        <v>18199.6644404181</v>
      </c>
      <c r="H267" s="25" t="n">
        <f aca="false">(1+F267*가정!$B$38)*D267^0.6</f>
        <v>2187.86598285017</v>
      </c>
      <c r="I267" s="48" t="n">
        <f aca="false">가정!$B$5*가정!$B$7*가정!$B$6^(B267-1)/가정!$B$18</f>
        <v>4309621.60996639</v>
      </c>
      <c r="J267" s="48" t="n">
        <f aca="false">(가정!$B$12+가정!$B$15*(LOG(가정!$B$9*가정!$B$7*H267*가정!$B$10^B267/(가정!$B$10-1)*(가정!$B$14-1)/가정!$B$13)/LOG(가정!$B$14)))*G267</f>
        <v>10244912.3051917</v>
      </c>
      <c r="K267" s="49" t="n">
        <f aca="false">IFERROR(J267/I267,0)</f>
        <v>2.37721851995067</v>
      </c>
      <c r="L267" s="25" t="n">
        <f aca="false">A267/가정!$B$39</f>
        <v>88.6666666666667</v>
      </c>
      <c r="M267" s="26" t="str">
        <f aca="false">IF(K267&lt;1,"미달",IF(K267&gt;4,"과잉","적정"))</f>
        <v>적정</v>
      </c>
    </row>
    <row r="268" customFormat="false" ht="15" hidden="false" customHeight="true" outlineLevel="0" collapsed="false">
      <c r="A268" s="23" t="n">
        <v>267</v>
      </c>
      <c r="B268" s="23" t="n">
        <f aca="false">ROUND(가정!$B$32*(A268+1)^가정!$B$33,0)</f>
        <v>170</v>
      </c>
      <c r="C268" s="47" t="n">
        <f aca="false">IF(B268&gt;=IFERROR(INDEX(가정!$B$42:$B$50,C267),1000000),C267+1,C267)</f>
        <v>6</v>
      </c>
      <c r="D268" s="25" t="n">
        <f aca="false">가정!$B$34^(C268-1)</f>
        <v>97.65625</v>
      </c>
      <c r="E268" s="25" t="n">
        <f aca="false">(B268/10)^가정!$B$36</f>
        <v>93.0504063876143</v>
      </c>
      <c r="F268" s="24" t="n">
        <f aca="false">IF(C268&gt;C267,(F267+E268)*가정!$B$35,F267+E268)</f>
        <v>9361.27859988168</v>
      </c>
      <c r="G268" s="25" t="n">
        <f aca="false">(1+F268*가정!$B$37)*D268</f>
        <v>18381.4035153939</v>
      </c>
      <c r="H268" s="25" t="n">
        <f aca="false">(1+F268*가정!$B$38)*D268^0.6</f>
        <v>2209.67467184727</v>
      </c>
      <c r="I268" s="48" t="n">
        <f aca="false">가정!$B$5*가정!$B$7*가정!$B$6^(B268-1)/가정!$B$18</f>
        <v>4697487.55486336</v>
      </c>
      <c r="J268" s="48" t="n">
        <f aca="false">(가정!$B$12+가정!$B$15*(LOG(가정!$B$9*가정!$B$7*H268*가정!$B$10^B268/(가정!$B$10-1)*(가정!$B$14-1)/가정!$B$13)/LOG(가정!$B$14)))*G268</f>
        <v>10387232.985888</v>
      </c>
      <c r="K268" s="49" t="n">
        <f aca="false">IFERROR(J268/I268,0)</f>
        <v>2.21123161361736</v>
      </c>
      <c r="L268" s="25" t="n">
        <f aca="false">A268/가정!$B$39</f>
        <v>89</v>
      </c>
      <c r="M268" s="26" t="str">
        <f aca="false">IF(K268&lt;1,"미달",IF(K268&gt;4,"과잉","적정"))</f>
        <v>적정</v>
      </c>
    </row>
    <row r="269" customFormat="false" ht="15" hidden="false" customHeight="true" outlineLevel="0" collapsed="false">
      <c r="A269" s="23" t="n">
        <v>268</v>
      </c>
      <c r="B269" s="23" t="n">
        <f aca="false">ROUND(가정!$B$32*(A269+1)^가정!$B$33,0)</f>
        <v>170</v>
      </c>
      <c r="C269" s="47" t="n">
        <f aca="false">IF(B269&gt;=IFERROR(INDEX(가정!$B$42:$B$50,C268),1000000),C268+1,C268)</f>
        <v>6</v>
      </c>
      <c r="D269" s="25" t="n">
        <f aca="false">가정!$B$34^(C269-1)</f>
        <v>97.65625</v>
      </c>
      <c r="E269" s="25" t="n">
        <f aca="false">(B269/10)^가정!$B$36</f>
        <v>93.0504063876143</v>
      </c>
      <c r="F269" s="24" t="n">
        <f aca="false">IF(C269&gt;C268,(F268+E269)*가정!$B$35,F268+E269)</f>
        <v>9454.32900626929</v>
      </c>
      <c r="G269" s="25" t="n">
        <f aca="false">(1+F269*가정!$B$37)*D269</f>
        <v>18563.1425903697</v>
      </c>
      <c r="H269" s="25" t="n">
        <f aca="false">(1+F269*가정!$B$38)*D269^0.6</f>
        <v>2231.48336084437</v>
      </c>
      <c r="I269" s="48" t="n">
        <f aca="false">가정!$B$5*가정!$B$7*가정!$B$6^(B269-1)/가정!$B$18</f>
        <v>4697487.55486336</v>
      </c>
      <c r="J269" s="48" t="n">
        <f aca="false">(가정!$B$12+가정!$B$15*(LOG(가정!$B$9*가정!$B$7*H269*가정!$B$10^B269/(가정!$B$10-1)*(가정!$B$14-1)/가정!$B$13)/LOG(가정!$B$14)))*G269</f>
        <v>10494758.9046863</v>
      </c>
      <c r="K269" s="49" t="n">
        <f aca="false">IFERROR(J269/I269,0)</f>
        <v>2.23412170487199</v>
      </c>
      <c r="L269" s="25" t="n">
        <f aca="false">A269/가정!$B$39</f>
        <v>89.3333333333333</v>
      </c>
      <c r="M269" s="26" t="str">
        <f aca="false">IF(K269&lt;1,"미달",IF(K269&gt;4,"과잉","적정"))</f>
        <v>적정</v>
      </c>
    </row>
    <row r="270" customFormat="false" ht="15" hidden="false" customHeight="true" outlineLevel="0" collapsed="false">
      <c r="A270" s="23" t="n">
        <v>269</v>
      </c>
      <c r="B270" s="23" t="n">
        <f aca="false">ROUND(가정!$B$32*(A270+1)^가정!$B$33,0)</f>
        <v>170</v>
      </c>
      <c r="C270" s="47" t="n">
        <f aca="false">IF(B270&gt;=IFERROR(INDEX(가정!$B$42:$B$50,C269),1000000),C269+1,C269)</f>
        <v>6</v>
      </c>
      <c r="D270" s="25" t="n">
        <f aca="false">가정!$B$34^(C270-1)</f>
        <v>97.65625</v>
      </c>
      <c r="E270" s="25" t="n">
        <f aca="false">(B270/10)^가정!$B$36</f>
        <v>93.0504063876143</v>
      </c>
      <c r="F270" s="24" t="n">
        <f aca="false">IF(C270&gt;C269,(F269+E270)*가정!$B$35,F269+E270)</f>
        <v>9547.37941265691</v>
      </c>
      <c r="G270" s="25" t="n">
        <f aca="false">(1+F270*가정!$B$37)*D270</f>
        <v>18744.8816653455</v>
      </c>
      <c r="H270" s="25" t="n">
        <f aca="false">(1+F270*가정!$B$38)*D270^0.6</f>
        <v>2253.29204984146</v>
      </c>
      <c r="I270" s="48" t="n">
        <f aca="false">가정!$B$5*가정!$B$7*가정!$B$6^(B270-1)/가정!$B$18</f>
        <v>4697487.55486336</v>
      </c>
      <c r="J270" s="48" t="n">
        <f aca="false">(가정!$B$12+가정!$B$15*(LOG(가정!$B$9*가정!$B$7*H270*가정!$B$10^B270/(가정!$B$10-1)*(가정!$B$14-1)/가정!$B$13)/LOG(가정!$B$14)))*G270</f>
        <v>10602331.9247026</v>
      </c>
      <c r="K270" s="49" t="n">
        <f aca="false">IFERROR(J270/I270,0)</f>
        <v>2.25702182302236</v>
      </c>
      <c r="L270" s="25" t="n">
        <f aca="false">A270/가정!$B$39</f>
        <v>89.6666666666667</v>
      </c>
      <c r="M270" s="26" t="str">
        <f aca="false">IF(K270&lt;1,"미달",IF(K270&gt;4,"과잉","적정"))</f>
        <v>적정</v>
      </c>
    </row>
    <row r="271" customFormat="false" ht="15" hidden="false" customHeight="true" outlineLevel="0" collapsed="false">
      <c r="A271" s="27" t="n">
        <v>270</v>
      </c>
      <c r="B271" s="27" t="n">
        <f aca="false">ROUND(가정!$B$32*(A271+1)^가정!$B$33,0)</f>
        <v>170</v>
      </c>
      <c r="C271" s="50" t="n">
        <f aca="false">IF(B271&gt;=IFERROR(INDEX(가정!$B$42:$B$50,C270),1000000),C270+1,C270)</f>
        <v>6</v>
      </c>
      <c r="D271" s="29" t="n">
        <f aca="false">가정!$B$34^(C271-1)</f>
        <v>97.65625</v>
      </c>
      <c r="E271" s="29" t="n">
        <f aca="false">(B271/10)^가정!$B$36</f>
        <v>93.0504063876143</v>
      </c>
      <c r="F271" s="28" t="n">
        <f aca="false">IF(C271&gt;C270,(F270+E271)*가정!$B$35,F270+E271)</f>
        <v>9640.42981904452</v>
      </c>
      <c r="G271" s="29" t="n">
        <f aca="false">(1+F271*가정!$B$37)*D271</f>
        <v>18926.6207403213</v>
      </c>
      <c r="H271" s="29" t="n">
        <f aca="false">(1+F271*가정!$B$38)*D271^0.6</f>
        <v>2275.10073883856</v>
      </c>
      <c r="I271" s="51" t="n">
        <f aca="false">가정!$B$5*가정!$B$7*가정!$B$6^(B271-1)/가정!$B$18</f>
        <v>4697487.55486336</v>
      </c>
      <c r="J271" s="51" t="n">
        <f aca="false">(가정!$B$12+가정!$B$15*(LOG(가정!$B$9*가정!$B$7*H271*가정!$B$10^B271/(가정!$B$10-1)*(가정!$B$14-1)/가정!$B$13)/LOG(가정!$B$14)))*G271</f>
        <v>10709951.5892601</v>
      </c>
      <c r="K271" s="52" t="n">
        <f aca="false">IFERROR(J271/I271,0)</f>
        <v>2.27993187085125</v>
      </c>
      <c r="L271" s="29" t="n">
        <f aca="false">A271/가정!$B$39</f>
        <v>90</v>
      </c>
      <c r="M271" s="30" t="str">
        <f aca="false">IF(K271&lt;1,"미달",IF(K271&gt;4,"과잉","적정"))</f>
        <v>적정</v>
      </c>
    </row>
    <row r="272" customFormat="false" ht="15" hidden="false" customHeight="true" outlineLevel="0" collapsed="false">
      <c r="A272" s="23" t="n">
        <v>271</v>
      </c>
      <c r="B272" s="23" t="n">
        <f aca="false">ROUND(가정!$B$32*(A272+1)^가정!$B$33,0)</f>
        <v>170</v>
      </c>
      <c r="C272" s="47" t="n">
        <f aca="false">IF(B272&gt;=IFERROR(INDEX(가정!$B$42:$B$50,C271),1000000),C271+1,C271)</f>
        <v>6</v>
      </c>
      <c r="D272" s="25" t="n">
        <f aca="false">가정!$B$34^(C272-1)</f>
        <v>97.65625</v>
      </c>
      <c r="E272" s="25" t="n">
        <f aca="false">(B272/10)^가정!$B$36</f>
        <v>93.0504063876143</v>
      </c>
      <c r="F272" s="24" t="n">
        <f aca="false">IF(C272&gt;C271,(F271+E272)*가정!$B$35,F271+E272)</f>
        <v>9733.48022543214</v>
      </c>
      <c r="G272" s="25" t="n">
        <f aca="false">(1+F272*가정!$B$37)*D272</f>
        <v>19108.3598152971</v>
      </c>
      <c r="H272" s="25" t="n">
        <f aca="false">(1+F272*가정!$B$38)*D272^0.6</f>
        <v>2296.90942783566</v>
      </c>
      <c r="I272" s="48" t="n">
        <f aca="false">가정!$B$5*가정!$B$7*가정!$B$6^(B272-1)/가정!$B$18</f>
        <v>4697487.55486336</v>
      </c>
      <c r="J272" s="48" t="n">
        <f aca="false">(가정!$B$12+가정!$B$15*(LOG(가정!$B$9*가정!$B$7*H272*가정!$B$10^B272/(가정!$B$10-1)*(가정!$B$14-1)/가정!$B$13)/LOG(가정!$B$14)))*G272</f>
        <v>10817617.4504529</v>
      </c>
      <c r="K272" s="49" t="n">
        <f aca="false">IFERROR(J272/I272,0)</f>
        <v>2.30285175300854</v>
      </c>
      <c r="L272" s="25" t="n">
        <f aca="false">A272/가정!$B$39</f>
        <v>90.3333333333333</v>
      </c>
      <c r="M272" s="26" t="str">
        <f aca="false">IF(K272&lt;1,"미달",IF(K272&gt;4,"과잉","적정"))</f>
        <v>적정</v>
      </c>
    </row>
    <row r="273" customFormat="false" ht="15" hidden="false" customHeight="true" outlineLevel="0" collapsed="false">
      <c r="A273" s="23" t="n">
        <v>272</v>
      </c>
      <c r="B273" s="23" t="n">
        <f aca="false">ROUND(가정!$B$32*(A273+1)^가정!$B$33,0)</f>
        <v>170</v>
      </c>
      <c r="C273" s="47" t="n">
        <f aca="false">IF(B273&gt;=IFERROR(INDEX(가정!$B$42:$B$50,C272),1000000),C272+1,C272)</f>
        <v>6</v>
      </c>
      <c r="D273" s="25" t="n">
        <f aca="false">가정!$B$34^(C273-1)</f>
        <v>97.65625</v>
      </c>
      <c r="E273" s="25" t="n">
        <f aca="false">(B273/10)^가정!$B$36</f>
        <v>93.0504063876143</v>
      </c>
      <c r="F273" s="24" t="n">
        <f aca="false">IF(C273&gt;C272,(F272+E273)*가정!$B$35,F272+E273)</f>
        <v>9826.53063181975</v>
      </c>
      <c r="G273" s="25" t="n">
        <f aca="false">(1+F273*가정!$B$37)*D273</f>
        <v>19290.0988902729</v>
      </c>
      <c r="H273" s="25" t="n">
        <f aca="false">(1+F273*가정!$B$38)*D273^0.6</f>
        <v>2318.71811683275</v>
      </c>
      <c r="I273" s="48" t="n">
        <f aca="false">가정!$B$5*가정!$B$7*가정!$B$6^(B273-1)/가정!$B$18</f>
        <v>4697487.55486336</v>
      </c>
      <c r="J273" s="48" t="n">
        <f aca="false">(가정!$B$12+가정!$B$15*(LOG(가정!$B$9*가정!$B$7*H273*가정!$B$10^B273/(가정!$B$10-1)*(가정!$B$14-1)/가정!$B$13)/LOG(가정!$B$14)))*G273</f>
        <v>10925329.0688952</v>
      </c>
      <c r="K273" s="49" t="n">
        <f aca="false">IFERROR(J273/I273,0)</f>
        <v>2.3257813759579</v>
      </c>
      <c r="L273" s="25" t="n">
        <f aca="false">A273/가정!$B$39</f>
        <v>90.6666666666667</v>
      </c>
      <c r="M273" s="26" t="str">
        <f aca="false">IF(K273&lt;1,"미달",IF(K273&gt;4,"과잉","적정"))</f>
        <v>적정</v>
      </c>
    </row>
    <row r="274" customFormat="false" ht="15" hidden="false" customHeight="true" outlineLevel="0" collapsed="false">
      <c r="A274" s="23" t="n">
        <v>273</v>
      </c>
      <c r="B274" s="23" t="n">
        <f aca="false">ROUND(가정!$B$32*(A274+1)^가정!$B$33,0)</f>
        <v>171</v>
      </c>
      <c r="C274" s="47" t="n">
        <f aca="false">IF(B274&gt;=IFERROR(INDEX(가정!$B$42:$B$50,C273),1000000),C273+1,C273)</f>
        <v>6</v>
      </c>
      <c r="D274" s="25" t="n">
        <f aca="false">가정!$B$34^(C274-1)</f>
        <v>97.65625</v>
      </c>
      <c r="E274" s="25" t="n">
        <f aca="false">(B274/10)^가정!$B$36</f>
        <v>93.9277191825512</v>
      </c>
      <c r="F274" s="24" t="n">
        <f aca="false">IF(C274&gt;C273,(F273+E274)*가정!$B$35,F273+E274)</f>
        <v>9920.4583510023</v>
      </c>
      <c r="G274" s="25" t="n">
        <f aca="false">(1+F274*가정!$B$37)*D274</f>
        <v>19473.5514668014</v>
      </c>
      <c r="H274" s="25" t="n">
        <f aca="false">(1+F274*가정!$B$38)*D274^0.6</f>
        <v>2340.73242601616</v>
      </c>
      <c r="I274" s="48" t="n">
        <f aca="false">가정!$B$5*가정!$B$7*가정!$B$6^(B274-1)/가정!$B$18</f>
        <v>5120261.43480107</v>
      </c>
      <c r="J274" s="48" t="n">
        <f aca="false">(가정!$B$12+가정!$B$15*(LOG(가정!$B$9*가정!$B$7*H274*가정!$B$10^B274/(가정!$B$10-1)*(가정!$B$14-1)/가정!$B$13)/LOG(가정!$B$14)))*G274</f>
        <v>11071383.3196858</v>
      </c>
      <c r="K274" s="49" t="n">
        <f aca="false">IFERROR(J274/I274,0)</f>
        <v>2.16226914595347</v>
      </c>
      <c r="L274" s="25" t="n">
        <f aca="false">A274/가정!$B$39</f>
        <v>91</v>
      </c>
      <c r="M274" s="26" t="str">
        <f aca="false">IF(K274&lt;1,"미달",IF(K274&gt;4,"과잉","적정"))</f>
        <v>적정</v>
      </c>
    </row>
    <row r="275" customFormat="false" ht="15" hidden="false" customHeight="true" outlineLevel="0" collapsed="false">
      <c r="A275" s="23" t="n">
        <v>274</v>
      </c>
      <c r="B275" s="23" t="n">
        <f aca="false">ROUND(가정!$B$32*(A275+1)^가정!$B$33,0)</f>
        <v>171</v>
      </c>
      <c r="C275" s="47" t="n">
        <f aca="false">IF(B275&gt;=IFERROR(INDEX(가정!$B$42:$B$50,C274),1000000),C274+1,C274)</f>
        <v>6</v>
      </c>
      <c r="D275" s="25" t="n">
        <f aca="false">가정!$B$34^(C275-1)</f>
        <v>97.65625</v>
      </c>
      <c r="E275" s="25" t="n">
        <f aca="false">(B275/10)^가정!$B$36</f>
        <v>93.9277191825512</v>
      </c>
      <c r="F275" s="24" t="n">
        <f aca="false">IF(C275&gt;C274,(F274+E275)*가정!$B$35,F274+E275)</f>
        <v>10014.3860701849</v>
      </c>
      <c r="G275" s="25" t="n">
        <f aca="false">(1+F275*가정!$B$37)*D275</f>
        <v>19657.0040433298</v>
      </c>
      <c r="H275" s="25" t="n">
        <f aca="false">(1+F275*가정!$B$38)*D275^0.6</f>
        <v>2362.74673519957</v>
      </c>
      <c r="I275" s="48" t="n">
        <f aca="false">가정!$B$5*가정!$B$7*가정!$B$6^(B275-1)/가정!$B$18</f>
        <v>5120261.43480107</v>
      </c>
      <c r="J275" s="48" t="n">
        <f aca="false">(가정!$B$12+가정!$B$15*(LOG(가정!$B$9*가정!$B$7*H275*가정!$B$10^B275/(가정!$B$10-1)*(가정!$B$14-1)/가정!$B$13)/LOG(가정!$B$14)))*G275</f>
        <v>11180553.410333</v>
      </c>
      <c r="K275" s="49" t="n">
        <f aca="false">IFERROR(J275/I275,0)</f>
        <v>2.18359034059115</v>
      </c>
      <c r="L275" s="25" t="n">
        <f aca="false">A275/가정!$B$39</f>
        <v>91.3333333333333</v>
      </c>
      <c r="M275" s="26" t="str">
        <f aca="false">IF(K275&lt;1,"미달",IF(K275&gt;4,"과잉","적정"))</f>
        <v>적정</v>
      </c>
    </row>
    <row r="276" customFormat="false" ht="15" hidden="false" customHeight="true" outlineLevel="0" collapsed="false">
      <c r="A276" s="23" t="n">
        <v>275</v>
      </c>
      <c r="B276" s="23" t="n">
        <f aca="false">ROUND(가정!$B$32*(A276+1)^가정!$B$33,0)</f>
        <v>171</v>
      </c>
      <c r="C276" s="47" t="n">
        <f aca="false">IF(B276&gt;=IFERROR(INDEX(가정!$B$42:$B$50,C275),1000000),C275+1,C275)</f>
        <v>6</v>
      </c>
      <c r="D276" s="25" t="n">
        <f aca="false">가정!$B$34^(C276-1)</f>
        <v>97.65625</v>
      </c>
      <c r="E276" s="25" t="n">
        <f aca="false">(B276/10)^가정!$B$36</f>
        <v>93.9277191825512</v>
      </c>
      <c r="F276" s="24" t="n">
        <f aca="false">IF(C276&gt;C275,(F275+E276)*가정!$B$35,F275+E276)</f>
        <v>10108.3137893674</v>
      </c>
      <c r="G276" s="25" t="n">
        <f aca="false">(1+F276*가정!$B$37)*D276</f>
        <v>19840.4566198582</v>
      </c>
      <c r="H276" s="25" t="n">
        <f aca="false">(1+F276*가정!$B$38)*D276^0.6</f>
        <v>2384.76104438299</v>
      </c>
      <c r="I276" s="48" t="n">
        <f aca="false">가정!$B$5*가정!$B$7*가정!$B$6^(B276-1)/가정!$B$18</f>
        <v>5120261.43480107</v>
      </c>
      <c r="J276" s="48" t="n">
        <f aca="false">(가정!$B$12+가정!$B$15*(LOG(가정!$B$9*가정!$B$7*H276*가정!$B$10^B276/(가정!$B$10-1)*(가정!$B$14-1)/가정!$B$13)/LOG(가정!$B$14)))*G276</f>
        <v>11289768.8237899</v>
      </c>
      <c r="K276" s="49" t="n">
        <f aca="false">IFERROR(J276/I276,0)</f>
        <v>2.20492038688813</v>
      </c>
      <c r="L276" s="25" t="n">
        <f aca="false">A276/가정!$B$39</f>
        <v>91.6666666666667</v>
      </c>
      <c r="M276" s="26" t="str">
        <f aca="false">IF(K276&lt;1,"미달",IF(K276&gt;4,"과잉","적정"))</f>
        <v>적정</v>
      </c>
    </row>
    <row r="277" customFormat="false" ht="15" hidden="false" customHeight="true" outlineLevel="0" collapsed="false">
      <c r="A277" s="23" t="n">
        <v>276</v>
      </c>
      <c r="B277" s="23" t="n">
        <f aca="false">ROUND(가정!$B$32*(A277+1)^가정!$B$33,0)</f>
        <v>171</v>
      </c>
      <c r="C277" s="47" t="n">
        <f aca="false">IF(B277&gt;=IFERROR(INDEX(가정!$B$42:$B$50,C276),1000000),C276+1,C276)</f>
        <v>6</v>
      </c>
      <c r="D277" s="25" t="n">
        <f aca="false">가정!$B$34^(C277-1)</f>
        <v>97.65625</v>
      </c>
      <c r="E277" s="25" t="n">
        <f aca="false">(B277/10)^가정!$B$36</f>
        <v>93.9277191825512</v>
      </c>
      <c r="F277" s="24" t="n">
        <f aca="false">IF(C277&gt;C276,(F276+E277)*가정!$B$35,F276+E277)</f>
        <v>10202.24150855</v>
      </c>
      <c r="G277" s="25" t="n">
        <f aca="false">(1+F277*가정!$B$37)*D277</f>
        <v>20023.9091963866</v>
      </c>
      <c r="H277" s="25" t="n">
        <f aca="false">(1+F277*가정!$B$38)*D277^0.6</f>
        <v>2406.7753535664</v>
      </c>
      <c r="I277" s="48" t="n">
        <f aca="false">가정!$B$5*가정!$B$7*가정!$B$6^(B277-1)/가정!$B$18</f>
        <v>5120261.43480107</v>
      </c>
      <c r="J277" s="48" t="n">
        <f aca="false">(가정!$B$12+가정!$B$15*(LOG(가정!$B$9*가정!$B$7*H277*가정!$B$10^B277/(가정!$B$10-1)*(가정!$B$14-1)/가정!$B$13)/LOG(가정!$B$14)))*G277</f>
        <v>11399029.1409746</v>
      </c>
      <c r="K277" s="49" t="n">
        <f aca="false">IFERROR(J277/I277,0)</f>
        <v>2.22625920299662</v>
      </c>
      <c r="L277" s="25" t="n">
        <f aca="false">A277/가정!$B$39</f>
        <v>92</v>
      </c>
      <c r="M277" s="26" t="str">
        <f aca="false">IF(K277&lt;1,"미달",IF(K277&gt;4,"과잉","적정"))</f>
        <v>적정</v>
      </c>
    </row>
    <row r="278" customFormat="false" ht="15" hidden="false" customHeight="true" outlineLevel="0" collapsed="false">
      <c r="A278" s="23" t="n">
        <v>277</v>
      </c>
      <c r="B278" s="23" t="n">
        <f aca="false">ROUND(가정!$B$32*(A278+1)^가정!$B$33,0)</f>
        <v>171</v>
      </c>
      <c r="C278" s="47" t="n">
        <f aca="false">IF(B278&gt;=IFERROR(INDEX(가정!$B$42:$B$50,C277),1000000),C277+1,C277)</f>
        <v>6</v>
      </c>
      <c r="D278" s="25" t="n">
        <f aca="false">가정!$B$34^(C278-1)</f>
        <v>97.65625</v>
      </c>
      <c r="E278" s="25" t="n">
        <f aca="false">(B278/10)^가정!$B$36</f>
        <v>93.9277191825512</v>
      </c>
      <c r="F278" s="24" t="n">
        <f aca="false">IF(C278&gt;C277,(F277+E278)*가정!$B$35,F277+E278)</f>
        <v>10296.1692277325</v>
      </c>
      <c r="G278" s="25" t="n">
        <f aca="false">(1+F278*가정!$B$37)*D278</f>
        <v>20207.3617729151</v>
      </c>
      <c r="H278" s="25" t="n">
        <f aca="false">(1+F278*가정!$B$38)*D278^0.6</f>
        <v>2428.78966274981</v>
      </c>
      <c r="I278" s="48" t="n">
        <f aca="false">가정!$B$5*가정!$B$7*가정!$B$6^(B278-1)/가정!$B$18</f>
        <v>5120261.43480107</v>
      </c>
      <c r="J278" s="48" t="n">
        <f aca="false">(가정!$B$12+가정!$B$15*(LOG(가정!$B$9*가정!$B$7*H278*가정!$B$10^B278/(가정!$B$10-1)*(가정!$B$14-1)/가정!$B$13)/LOG(가정!$B$14)))*G278</f>
        <v>11508333.9504841</v>
      </c>
      <c r="K278" s="49" t="n">
        <f aca="false">IFERROR(J278/I278,0)</f>
        <v>2.24760670856862</v>
      </c>
      <c r="L278" s="25" t="n">
        <f aca="false">A278/가정!$B$39</f>
        <v>92.3333333333333</v>
      </c>
      <c r="M278" s="26" t="str">
        <f aca="false">IF(K278&lt;1,"미달",IF(K278&gt;4,"과잉","적정"))</f>
        <v>적정</v>
      </c>
    </row>
    <row r="279" customFormat="false" ht="15" hidden="false" customHeight="true" outlineLevel="0" collapsed="false">
      <c r="A279" s="23" t="n">
        <v>278</v>
      </c>
      <c r="B279" s="23" t="n">
        <f aca="false">ROUND(가정!$B$32*(A279+1)^가정!$B$33,0)</f>
        <v>171</v>
      </c>
      <c r="C279" s="47" t="n">
        <f aca="false">IF(B279&gt;=IFERROR(INDEX(가정!$B$42:$B$50,C278),1000000),C278+1,C278)</f>
        <v>6</v>
      </c>
      <c r="D279" s="25" t="n">
        <f aca="false">가정!$B$34^(C279-1)</f>
        <v>97.65625</v>
      </c>
      <c r="E279" s="25" t="n">
        <f aca="false">(B279/10)^가정!$B$36</f>
        <v>93.9277191825512</v>
      </c>
      <c r="F279" s="24" t="n">
        <f aca="false">IF(C279&gt;C278,(F278+E279)*가정!$B$35,F278+E279)</f>
        <v>10390.0969469151</v>
      </c>
      <c r="G279" s="25" t="n">
        <f aca="false">(1+F279*가정!$B$37)*D279</f>
        <v>20390.8143494435</v>
      </c>
      <c r="H279" s="25" t="n">
        <f aca="false">(1+F279*가정!$B$38)*D279^0.6</f>
        <v>2450.80397193322</v>
      </c>
      <c r="I279" s="48" t="n">
        <f aca="false">가정!$B$5*가정!$B$7*가정!$B$6^(B279-1)/가정!$B$18</f>
        <v>5120261.43480107</v>
      </c>
      <c r="J279" s="48" t="n">
        <f aca="false">(가정!$B$12+가정!$B$15*(LOG(가정!$B$9*가정!$B$7*H279*가정!$B$10^B279/(가정!$B$10-1)*(가정!$B$14-1)/가정!$B$13)/LOG(가정!$B$14)))*G279</f>
        <v>11617682.8483858</v>
      </c>
      <c r="K279" s="49" t="n">
        <f aca="false">IFERROR(J279/I279,0)</f>
        <v>2.26896282471505</v>
      </c>
      <c r="L279" s="25" t="n">
        <f aca="false">A279/가정!$B$39</f>
        <v>92.6666666666667</v>
      </c>
      <c r="M279" s="26" t="str">
        <f aca="false">IF(K279&lt;1,"미달",IF(K279&gt;4,"과잉","적정"))</f>
        <v>적정</v>
      </c>
    </row>
    <row r="280" customFormat="false" ht="15" hidden="false" customHeight="true" outlineLevel="0" collapsed="false">
      <c r="A280" s="23" t="n">
        <v>279</v>
      </c>
      <c r="B280" s="23" t="n">
        <f aca="false">ROUND(가정!$B$32*(A280+1)^가정!$B$33,0)</f>
        <v>172</v>
      </c>
      <c r="C280" s="47" t="n">
        <f aca="false">IF(B280&gt;=IFERROR(INDEX(가정!$B$42:$B$50,C279),1000000),C279+1,C279)</f>
        <v>6</v>
      </c>
      <c r="D280" s="25" t="n">
        <f aca="false">가정!$B$34^(C280-1)</f>
        <v>97.65625</v>
      </c>
      <c r="E280" s="25" t="n">
        <f aca="false">(B280/10)^가정!$B$36</f>
        <v>94.8081156871533</v>
      </c>
      <c r="F280" s="24" t="n">
        <f aca="false">IF(C280&gt;C279,(F279+E280)*가정!$B$35,F279+E280)</f>
        <v>10484.9050626022</v>
      </c>
      <c r="G280" s="25" t="n">
        <f aca="false">(1+F280*가정!$B$37)*D280</f>
        <v>20575.9864503949</v>
      </c>
      <c r="H280" s="25" t="n">
        <f aca="false">(1+F280*가정!$B$38)*D280^0.6</f>
        <v>2473.02462404739</v>
      </c>
      <c r="I280" s="48" t="n">
        <f aca="false">가정!$B$5*가정!$B$7*가정!$B$6^(B280-1)/가정!$B$18</f>
        <v>5581084.96393316</v>
      </c>
      <c r="J280" s="48" t="n">
        <f aca="false">(가정!$B$12+가정!$B$15*(LOG(가정!$B$9*가정!$B$7*H280*가정!$B$10^B280/(가정!$B$10-1)*(가정!$B$14-1)/가정!$B$13)/LOG(가정!$B$14)))*G280</f>
        <v>11767492.6702139</v>
      </c>
      <c r="K280" s="49" t="n">
        <f aca="false">IFERROR(J280/I280,0)</f>
        <v>2.10845968951545</v>
      </c>
      <c r="L280" s="25" t="n">
        <f aca="false">A280/가정!$B$39</f>
        <v>93</v>
      </c>
      <c r="M280" s="26" t="str">
        <f aca="false">IF(K280&lt;1,"미달",IF(K280&gt;4,"과잉","적정"))</f>
        <v>적정</v>
      </c>
    </row>
    <row r="281" customFormat="false" ht="15" hidden="false" customHeight="true" outlineLevel="0" collapsed="false">
      <c r="A281" s="23" t="n">
        <v>280</v>
      </c>
      <c r="B281" s="23" t="n">
        <f aca="false">ROUND(가정!$B$32*(A281+1)^가정!$B$33,0)</f>
        <v>172</v>
      </c>
      <c r="C281" s="47" t="n">
        <f aca="false">IF(B281&gt;=IFERROR(INDEX(가정!$B$42:$B$50,C280),1000000),C280+1,C280)</f>
        <v>6</v>
      </c>
      <c r="D281" s="25" t="n">
        <f aca="false">가정!$B$34^(C281-1)</f>
        <v>97.65625</v>
      </c>
      <c r="E281" s="25" t="n">
        <f aca="false">(B281/10)^가정!$B$36</f>
        <v>94.8081156871533</v>
      </c>
      <c r="F281" s="24" t="n">
        <f aca="false">IF(C281&gt;C280,(F280+E281)*가정!$B$35,F280+E281)</f>
        <v>10579.7131782894</v>
      </c>
      <c r="G281" s="25" t="n">
        <f aca="false">(1+F281*가정!$B$37)*D281</f>
        <v>20761.1585513464</v>
      </c>
      <c r="H281" s="25" t="n">
        <f aca="false">(1+F281*가정!$B$38)*D281^0.6</f>
        <v>2495.24527616157</v>
      </c>
      <c r="I281" s="48" t="n">
        <f aca="false">가정!$B$5*가정!$B$7*가정!$B$6^(B281-1)/가정!$B$18</f>
        <v>5581084.96393316</v>
      </c>
      <c r="J281" s="48" t="n">
        <f aca="false">(가정!$B$12+가정!$B$15*(LOG(가정!$B$9*가정!$B$7*H281*가정!$B$10^B281/(가정!$B$10-1)*(가정!$B$14-1)/가정!$B$13)/LOG(가정!$B$14)))*G281</f>
        <v>11878309.4325535</v>
      </c>
      <c r="K281" s="49" t="n">
        <f aca="false">IFERROR(J281/I281,0)</f>
        <v>2.12831546362672</v>
      </c>
      <c r="L281" s="25" t="n">
        <f aca="false">A281/가정!$B$39</f>
        <v>93.3333333333333</v>
      </c>
      <c r="M281" s="26" t="str">
        <f aca="false">IF(K281&lt;1,"미달",IF(K281&gt;4,"과잉","적정"))</f>
        <v>적정</v>
      </c>
    </row>
    <row r="282" customFormat="false" ht="15" hidden="false" customHeight="true" outlineLevel="0" collapsed="false">
      <c r="A282" s="23" t="n">
        <v>281</v>
      </c>
      <c r="B282" s="23" t="n">
        <f aca="false">ROUND(가정!$B$32*(A282+1)^가정!$B$33,0)</f>
        <v>172</v>
      </c>
      <c r="C282" s="47" t="n">
        <f aca="false">IF(B282&gt;=IFERROR(INDEX(가정!$B$42:$B$50,C281),1000000),C281+1,C281)</f>
        <v>6</v>
      </c>
      <c r="D282" s="25" t="n">
        <f aca="false">가정!$B$34^(C282-1)</f>
        <v>97.65625</v>
      </c>
      <c r="E282" s="25" t="n">
        <f aca="false">(B282/10)^가정!$B$36</f>
        <v>94.8081156871533</v>
      </c>
      <c r="F282" s="24" t="n">
        <f aca="false">IF(C282&gt;C281,(F281+E282)*가정!$B$35,F281+E282)</f>
        <v>10674.5212939765</v>
      </c>
      <c r="G282" s="25" t="n">
        <f aca="false">(1+F282*가정!$B$37)*D282</f>
        <v>20946.3306522979</v>
      </c>
      <c r="H282" s="25" t="n">
        <f aca="false">(1+F282*가정!$B$38)*D282^0.6</f>
        <v>2517.46592827575</v>
      </c>
      <c r="I282" s="48" t="n">
        <f aca="false">가정!$B$5*가정!$B$7*가정!$B$6^(B282-1)/가정!$B$18</f>
        <v>5581084.96393316</v>
      </c>
      <c r="J282" s="48" t="n">
        <f aca="false">(가정!$B$12+가정!$B$15*(LOG(가정!$B$9*가정!$B$7*H282*가정!$B$10^B282/(가정!$B$10-1)*(가정!$B$14-1)/가정!$B$13)/LOG(가정!$B$14)))*G282</f>
        <v>11989169.9154436</v>
      </c>
      <c r="K282" s="49" t="n">
        <f aca="false">IFERROR(J282/I282,0)</f>
        <v>2.14817907143891</v>
      </c>
      <c r="L282" s="25" t="n">
        <f aca="false">A282/가정!$B$39</f>
        <v>93.6666666666667</v>
      </c>
      <c r="M282" s="26" t="str">
        <f aca="false">IF(K282&lt;1,"미달",IF(K282&gt;4,"과잉","적정"))</f>
        <v>적정</v>
      </c>
    </row>
    <row r="283" customFormat="false" ht="15" hidden="false" customHeight="true" outlineLevel="0" collapsed="false">
      <c r="A283" s="23" t="n">
        <v>282</v>
      </c>
      <c r="B283" s="23" t="n">
        <f aca="false">ROUND(가정!$B$32*(A283+1)^가정!$B$33,0)</f>
        <v>172</v>
      </c>
      <c r="C283" s="47" t="n">
        <f aca="false">IF(B283&gt;=IFERROR(INDEX(가정!$B$42:$B$50,C282),1000000),C282+1,C282)</f>
        <v>6</v>
      </c>
      <c r="D283" s="25" t="n">
        <f aca="false">가정!$B$34^(C283-1)</f>
        <v>97.65625</v>
      </c>
      <c r="E283" s="25" t="n">
        <f aca="false">(B283/10)^가정!$B$36</f>
        <v>94.8081156871533</v>
      </c>
      <c r="F283" s="24" t="n">
        <f aca="false">IF(C283&gt;C282,(F282+E283)*가정!$B$35,F282+E283)</f>
        <v>10769.3294096637</v>
      </c>
      <c r="G283" s="25" t="n">
        <f aca="false">(1+F283*가정!$B$37)*D283</f>
        <v>21131.5027532494</v>
      </c>
      <c r="H283" s="25" t="n">
        <f aca="false">(1+F283*가정!$B$38)*D283^0.6</f>
        <v>2539.68658038992</v>
      </c>
      <c r="I283" s="48" t="n">
        <f aca="false">가정!$B$5*가정!$B$7*가정!$B$6^(B283-1)/가정!$B$18</f>
        <v>5581084.96393316</v>
      </c>
      <c r="J283" s="48" t="n">
        <f aca="false">(가정!$B$12+가정!$B$15*(LOG(가정!$B$9*가정!$B$7*H283*가정!$B$10^B283/(가정!$B$10-1)*(가정!$B$14-1)/가정!$B$13)/LOG(가정!$B$14)))*G283</f>
        <v>12100073.7323726</v>
      </c>
      <c r="K283" s="49" t="n">
        <f aca="false">IFERROR(J283/I283,0)</f>
        <v>2.16805044369819</v>
      </c>
      <c r="L283" s="25" t="n">
        <f aca="false">A283/가정!$B$39</f>
        <v>94</v>
      </c>
      <c r="M283" s="26" t="str">
        <f aca="false">IF(K283&lt;1,"미달",IF(K283&gt;4,"과잉","적정"))</f>
        <v>적정</v>
      </c>
    </row>
    <row r="284" customFormat="false" ht="15" hidden="false" customHeight="true" outlineLevel="0" collapsed="false">
      <c r="A284" s="23" t="n">
        <v>283</v>
      </c>
      <c r="B284" s="23" t="n">
        <f aca="false">ROUND(가정!$B$32*(A284+1)^가정!$B$33,0)</f>
        <v>172</v>
      </c>
      <c r="C284" s="47" t="n">
        <f aca="false">IF(B284&gt;=IFERROR(INDEX(가정!$B$42:$B$50,C283),1000000),C283+1,C283)</f>
        <v>6</v>
      </c>
      <c r="D284" s="25" t="n">
        <f aca="false">가정!$B$34^(C284-1)</f>
        <v>97.65625</v>
      </c>
      <c r="E284" s="25" t="n">
        <f aca="false">(B284/10)^가정!$B$36</f>
        <v>94.8081156871533</v>
      </c>
      <c r="F284" s="24" t="n">
        <f aca="false">IF(C284&gt;C283,(F283+E284)*가정!$B$35,F283+E284)</f>
        <v>10864.1375253508</v>
      </c>
      <c r="G284" s="25" t="n">
        <f aca="false">(1+F284*가정!$B$37)*D284</f>
        <v>21316.6748542008</v>
      </c>
      <c r="H284" s="25" t="n">
        <f aca="false">(1+F284*가정!$B$38)*D284^0.6</f>
        <v>2561.9072325041</v>
      </c>
      <c r="I284" s="48" t="n">
        <f aca="false">가정!$B$5*가정!$B$7*가정!$B$6^(B284-1)/가정!$B$18</f>
        <v>5581084.96393316</v>
      </c>
      <c r="J284" s="48" t="n">
        <f aca="false">(가정!$B$12+가정!$B$15*(LOG(가정!$B$9*가정!$B$7*H284*가정!$B$10^B284/(가정!$B$10-1)*(가정!$B$14-1)/가정!$B$13)/LOG(가정!$B$14)))*G284</f>
        <v>12211020.5036029</v>
      </c>
      <c r="K284" s="49" t="n">
        <f aca="false">IFERROR(J284/I284,0)</f>
        <v>2.18792951236446</v>
      </c>
      <c r="L284" s="25" t="n">
        <f aca="false">A284/가정!$B$39</f>
        <v>94.3333333333333</v>
      </c>
      <c r="M284" s="26" t="str">
        <f aca="false">IF(K284&lt;1,"미달",IF(K284&gt;4,"과잉","적정"))</f>
        <v>적정</v>
      </c>
    </row>
    <row r="285" customFormat="false" ht="15" hidden="false" customHeight="true" outlineLevel="0" collapsed="false">
      <c r="A285" s="23" t="n">
        <v>284</v>
      </c>
      <c r="B285" s="23" t="n">
        <f aca="false">ROUND(가정!$B$32*(A285+1)^가정!$B$33,0)</f>
        <v>172</v>
      </c>
      <c r="C285" s="47" t="n">
        <f aca="false">IF(B285&gt;=IFERROR(INDEX(가정!$B$42:$B$50,C284),1000000),C284+1,C284)</f>
        <v>6</v>
      </c>
      <c r="D285" s="25" t="n">
        <f aca="false">가정!$B$34^(C285-1)</f>
        <v>97.65625</v>
      </c>
      <c r="E285" s="25" t="n">
        <f aca="false">(B285/10)^가정!$B$36</f>
        <v>94.8081156871533</v>
      </c>
      <c r="F285" s="24" t="n">
        <f aca="false">IF(C285&gt;C284,(F284+E285)*가정!$B$35,F284+E285)</f>
        <v>10958.945641038</v>
      </c>
      <c r="G285" s="25" t="n">
        <f aca="false">(1+F285*가정!$B$37)*D285</f>
        <v>21501.8469551523</v>
      </c>
      <c r="H285" s="25" t="n">
        <f aca="false">(1+F285*가정!$B$38)*D285^0.6</f>
        <v>2584.12788461828</v>
      </c>
      <c r="I285" s="48" t="n">
        <f aca="false">가정!$B$5*가정!$B$7*가정!$B$6^(B285-1)/가정!$B$18</f>
        <v>5581084.96393316</v>
      </c>
      <c r="J285" s="48" t="n">
        <f aca="false">(가정!$B$12+가정!$B$15*(LOG(가정!$B$9*가정!$B$7*H285*가정!$B$10^B285/(가정!$B$10-1)*(가정!$B$14-1)/가정!$B$13)/LOG(가정!$B$14)))*G285</f>
        <v>12322009.8559948</v>
      </c>
      <c r="K285" s="49" t="n">
        <f aca="false">IFERROR(J285/I285,0)</f>
        <v>2.20781621057979</v>
      </c>
      <c r="L285" s="25" t="n">
        <f aca="false">A285/가정!$B$39</f>
        <v>94.6666666666667</v>
      </c>
      <c r="M285" s="26" t="str">
        <f aca="false">IF(K285&lt;1,"미달",IF(K285&gt;4,"과잉","적정"))</f>
        <v>적정</v>
      </c>
    </row>
    <row r="286" customFormat="false" ht="15" hidden="false" customHeight="true" outlineLevel="0" collapsed="false">
      <c r="A286" s="23" t="n">
        <v>285</v>
      </c>
      <c r="B286" s="23" t="n">
        <f aca="false">ROUND(가정!$B$32*(A286+1)^가정!$B$33,0)</f>
        <v>173</v>
      </c>
      <c r="C286" s="47" t="n">
        <f aca="false">IF(B286&gt;=IFERROR(INDEX(가정!$B$42:$B$50,C285),1000000),C285+1,C285)</f>
        <v>6</v>
      </c>
      <c r="D286" s="25" t="n">
        <f aca="false">가정!$B$34^(C286-1)</f>
        <v>97.65625</v>
      </c>
      <c r="E286" s="25" t="n">
        <f aca="false">(B286/10)^가정!$B$36</f>
        <v>95.6915887173988</v>
      </c>
      <c r="F286" s="24" t="n">
        <f aca="false">IF(C286&gt;C285,(F285+E286)*가정!$B$35,F285+E286)</f>
        <v>11054.6372297554</v>
      </c>
      <c r="G286" s="25" t="n">
        <f aca="false">(1+F286*가정!$B$37)*D286</f>
        <v>21688.744589366</v>
      </c>
      <c r="H286" s="25" t="n">
        <f aca="false">(1+F286*가정!$B$38)*D286^0.6</f>
        <v>2606.55560072392</v>
      </c>
      <c r="I286" s="48" t="n">
        <f aca="false">가정!$B$5*가정!$B$7*가정!$B$6^(B286-1)/가정!$B$18</f>
        <v>6083382.61068715</v>
      </c>
      <c r="J286" s="48" t="n">
        <f aca="false">(가정!$B$12+가정!$B$15*(LOG(가정!$B$9*가정!$B$7*H286*가정!$B$10^B286/(가정!$B$10-1)*(가정!$B$14-1)/가정!$B$13)/LOG(가정!$B$14)))*G286</f>
        <v>12475598.2668101</v>
      </c>
      <c r="K286" s="49" t="n">
        <f aca="false">IFERROR(J286/I286,0)</f>
        <v>2.05076666473242</v>
      </c>
      <c r="L286" s="25" t="n">
        <f aca="false">A286/가정!$B$39</f>
        <v>95</v>
      </c>
      <c r="M286" s="26" t="str">
        <f aca="false">IF(K286&lt;1,"미달",IF(K286&gt;4,"과잉","적정"))</f>
        <v>적정</v>
      </c>
    </row>
    <row r="287" customFormat="false" ht="15" hidden="false" customHeight="true" outlineLevel="0" collapsed="false">
      <c r="A287" s="23" t="n">
        <v>286</v>
      </c>
      <c r="B287" s="23" t="n">
        <f aca="false">ROUND(가정!$B$32*(A287+1)^가정!$B$33,0)</f>
        <v>173</v>
      </c>
      <c r="C287" s="47" t="n">
        <f aca="false">IF(B287&gt;=IFERROR(INDEX(가정!$B$42:$B$50,C286),1000000),C286+1,C286)</f>
        <v>6</v>
      </c>
      <c r="D287" s="25" t="n">
        <f aca="false">가정!$B$34^(C287-1)</f>
        <v>97.65625</v>
      </c>
      <c r="E287" s="25" t="n">
        <f aca="false">(B287/10)^가정!$B$36</f>
        <v>95.6915887173988</v>
      </c>
      <c r="F287" s="24" t="n">
        <f aca="false">IF(C287&gt;C286,(F286+E287)*가정!$B$35,F286+E287)</f>
        <v>11150.3288184728</v>
      </c>
      <c r="G287" s="25" t="n">
        <f aca="false">(1+F287*가정!$B$37)*D287</f>
        <v>21875.6422235796</v>
      </c>
      <c r="H287" s="25" t="n">
        <f aca="false">(1+F287*가정!$B$38)*D287^0.6</f>
        <v>2628.98331682956</v>
      </c>
      <c r="I287" s="48" t="n">
        <f aca="false">가정!$B$5*가정!$B$7*가정!$B$6^(B287-1)/가정!$B$18</f>
        <v>6083382.61068715</v>
      </c>
      <c r="J287" s="48" t="n">
        <f aca="false">(가정!$B$12+가정!$B$15*(LOG(가정!$B$9*가정!$B$7*H287*가정!$B$10^B287/(가정!$B$10-1)*(가정!$B$14-1)/가정!$B$13)/LOG(가정!$B$14)))*G287</f>
        <v>12588065.1231778</v>
      </c>
      <c r="K287" s="49" t="n">
        <f aca="false">IFERROR(J287/I287,0)</f>
        <v>2.0692542173927</v>
      </c>
      <c r="L287" s="25" t="n">
        <f aca="false">A287/가정!$B$39</f>
        <v>95.3333333333333</v>
      </c>
      <c r="M287" s="26" t="str">
        <f aca="false">IF(K287&lt;1,"미달",IF(K287&gt;4,"과잉","적정"))</f>
        <v>적정</v>
      </c>
    </row>
    <row r="288" customFormat="false" ht="15" hidden="false" customHeight="true" outlineLevel="0" collapsed="false">
      <c r="A288" s="23" t="n">
        <v>287</v>
      </c>
      <c r="B288" s="23" t="n">
        <f aca="false">ROUND(가정!$B$32*(A288+1)^가정!$B$33,0)</f>
        <v>173</v>
      </c>
      <c r="C288" s="47" t="n">
        <f aca="false">IF(B288&gt;=IFERROR(INDEX(가정!$B$42:$B$50,C287),1000000),C287+1,C287)</f>
        <v>6</v>
      </c>
      <c r="D288" s="25" t="n">
        <f aca="false">가정!$B$34^(C288-1)</f>
        <v>97.65625</v>
      </c>
      <c r="E288" s="25" t="n">
        <f aca="false">(B288/10)^가정!$B$36</f>
        <v>95.6915887173988</v>
      </c>
      <c r="F288" s="24" t="n">
        <f aca="false">IF(C288&gt;C287,(F287+E288)*가정!$B$35,F287+E288)</f>
        <v>11246.0204071902</v>
      </c>
      <c r="G288" s="25" t="n">
        <f aca="false">(1+F288*가정!$B$37)*D288</f>
        <v>22062.5398577933</v>
      </c>
      <c r="H288" s="25" t="n">
        <f aca="false">(1+F288*가정!$B$38)*D288^0.6</f>
        <v>2651.4110329352</v>
      </c>
      <c r="I288" s="48" t="n">
        <f aca="false">가정!$B$5*가정!$B$7*가정!$B$6^(B288-1)/가정!$B$18</f>
        <v>6083382.61068715</v>
      </c>
      <c r="J288" s="48" t="n">
        <f aca="false">(가정!$B$12+가정!$B$15*(LOG(가정!$B$9*가정!$B$7*H288*가정!$B$10^B288/(가정!$B$10-1)*(가정!$B$14-1)/가정!$B$13)/LOG(가정!$B$14)))*G288</f>
        <v>12700574.2495725</v>
      </c>
      <c r="K288" s="49" t="n">
        <f aca="false">IFERROR(J288/I288,0)</f>
        <v>2.08774871849428</v>
      </c>
      <c r="L288" s="25" t="n">
        <f aca="false">A288/가정!$B$39</f>
        <v>95.6666666666667</v>
      </c>
      <c r="M288" s="26" t="str">
        <f aca="false">IF(K288&lt;1,"미달",IF(K288&gt;4,"과잉","적정"))</f>
        <v>적정</v>
      </c>
    </row>
    <row r="289" customFormat="false" ht="15" hidden="false" customHeight="true" outlineLevel="0" collapsed="false">
      <c r="A289" s="23" t="n">
        <v>288</v>
      </c>
      <c r="B289" s="23" t="n">
        <f aca="false">ROUND(가정!$B$32*(A289+1)^가정!$B$33,0)</f>
        <v>173</v>
      </c>
      <c r="C289" s="47" t="n">
        <f aca="false">IF(B289&gt;=IFERROR(INDEX(가정!$B$42:$B$50,C288),1000000),C288+1,C288)</f>
        <v>6</v>
      </c>
      <c r="D289" s="25" t="n">
        <f aca="false">가정!$B$34^(C289-1)</f>
        <v>97.65625</v>
      </c>
      <c r="E289" s="25" t="n">
        <f aca="false">(B289/10)^가정!$B$36</f>
        <v>95.6915887173988</v>
      </c>
      <c r="F289" s="24" t="n">
        <f aca="false">IF(C289&gt;C288,(F288+E289)*가정!$B$35,F288+E289)</f>
        <v>11341.7119959076</v>
      </c>
      <c r="G289" s="25" t="n">
        <f aca="false">(1+F289*가정!$B$37)*D289</f>
        <v>22249.437492007</v>
      </c>
      <c r="H289" s="25" t="n">
        <f aca="false">(1+F289*가정!$B$38)*D289^0.6</f>
        <v>2673.83874904084</v>
      </c>
      <c r="I289" s="48" t="n">
        <f aca="false">가정!$B$5*가정!$B$7*가정!$B$6^(B289-1)/가정!$B$18</f>
        <v>6083382.61068715</v>
      </c>
      <c r="J289" s="48" t="n">
        <f aca="false">(가정!$B$12+가정!$B$15*(LOG(가정!$B$9*가정!$B$7*H289*가정!$B$10^B289/(가정!$B$10-1)*(가정!$B$14-1)/가정!$B$13)/LOG(가정!$B$14)))*G289</f>
        <v>12813125.2879065</v>
      </c>
      <c r="K289" s="49" t="n">
        <f aca="false">IFERROR(J289/I289,0)</f>
        <v>2.10625010917391</v>
      </c>
      <c r="L289" s="25" t="n">
        <f aca="false">A289/가정!$B$39</f>
        <v>96</v>
      </c>
      <c r="M289" s="26" t="str">
        <f aca="false">IF(K289&lt;1,"미달",IF(K289&gt;4,"과잉","적정"))</f>
        <v>적정</v>
      </c>
    </row>
    <row r="290" customFormat="false" ht="15" hidden="false" customHeight="true" outlineLevel="0" collapsed="false">
      <c r="A290" s="23" t="n">
        <v>289</v>
      </c>
      <c r="B290" s="23" t="n">
        <f aca="false">ROUND(가정!$B$32*(A290+1)^가정!$B$33,0)</f>
        <v>173</v>
      </c>
      <c r="C290" s="47" t="n">
        <f aca="false">IF(B290&gt;=IFERROR(INDEX(가정!$B$42:$B$50,C289),1000000),C289+1,C289)</f>
        <v>6</v>
      </c>
      <c r="D290" s="25" t="n">
        <f aca="false">가정!$B$34^(C290-1)</f>
        <v>97.65625</v>
      </c>
      <c r="E290" s="25" t="n">
        <f aca="false">(B290/10)^가정!$B$36</f>
        <v>95.6915887173988</v>
      </c>
      <c r="F290" s="24" t="n">
        <f aca="false">IF(C290&gt;C289,(F289+E290)*가정!$B$35,F289+E290)</f>
        <v>11437.403584625</v>
      </c>
      <c r="G290" s="25" t="n">
        <f aca="false">(1+F290*가정!$B$37)*D290</f>
        <v>22436.3351262207</v>
      </c>
      <c r="H290" s="25" t="n">
        <f aca="false">(1+F290*가정!$B$38)*D290^0.6</f>
        <v>2696.26646514648</v>
      </c>
      <c r="I290" s="48" t="n">
        <f aca="false">가정!$B$5*가정!$B$7*가정!$B$6^(B290-1)/가정!$B$18</f>
        <v>6083382.61068715</v>
      </c>
      <c r="J290" s="48" t="n">
        <f aca="false">(가정!$B$12+가정!$B$15*(LOG(가정!$B$9*가정!$B$7*H290*가정!$B$10^B290/(가정!$B$10-1)*(가정!$B$14-1)/가정!$B$13)/LOG(가정!$B$14)))*G290</f>
        <v>12925717.8861083</v>
      </c>
      <c r="K290" s="49" t="n">
        <f aca="false">IFERROR(J290/I290,0)</f>
        <v>2.12475833155729</v>
      </c>
      <c r="L290" s="25" t="n">
        <f aca="false">A290/가정!$B$39</f>
        <v>96.3333333333333</v>
      </c>
      <c r="M290" s="26" t="str">
        <f aca="false">IF(K290&lt;1,"미달",IF(K290&gt;4,"과잉","적정"))</f>
        <v>적정</v>
      </c>
    </row>
    <row r="291" customFormat="false" ht="15" hidden="false" customHeight="true" outlineLevel="0" collapsed="false">
      <c r="A291" s="23" t="n">
        <v>290</v>
      </c>
      <c r="B291" s="23" t="n">
        <f aca="false">ROUND(가정!$B$32*(A291+1)^가정!$B$33,0)</f>
        <v>173</v>
      </c>
      <c r="C291" s="47" t="n">
        <f aca="false">IF(B291&gt;=IFERROR(INDEX(가정!$B$42:$B$50,C290),1000000),C290+1,C290)</f>
        <v>6</v>
      </c>
      <c r="D291" s="25" t="n">
        <f aca="false">가정!$B$34^(C291-1)</f>
        <v>97.65625</v>
      </c>
      <c r="E291" s="25" t="n">
        <f aca="false">(B291/10)^가정!$B$36</f>
        <v>95.6915887173988</v>
      </c>
      <c r="F291" s="24" t="n">
        <f aca="false">IF(C291&gt;C290,(F290+E291)*가정!$B$35,F290+E291)</f>
        <v>11533.0951733424</v>
      </c>
      <c r="G291" s="25" t="n">
        <f aca="false">(1+F291*가정!$B$37)*D291</f>
        <v>22623.2327604343</v>
      </c>
      <c r="H291" s="25" t="n">
        <f aca="false">(1+F291*가정!$B$38)*D291^0.6</f>
        <v>2718.69418125212</v>
      </c>
      <c r="I291" s="48" t="n">
        <f aca="false">가정!$B$5*가정!$B$7*가정!$B$6^(B291-1)/가정!$B$18</f>
        <v>6083382.61068715</v>
      </c>
      <c r="J291" s="48" t="n">
        <f aca="false">(가정!$B$12+가정!$B$15*(LOG(가정!$B$9*가정!$B$7*H291*가정!$B$10^B291/(가정!$B$10-1)*(가정!$B$14-1)/가정!$B$13)/LOG(가정!$B$14)))*G291</f>
        <v>13038351.697972</v>
      </c>
      <c r="K291" s="49" t="n">
        <f aca="false">IFERROR(J291/I291,0)</f>
        <v>2.14327332873433</v>
      </c>
      <c r="L291" s="25" t="n">
        <f aca="false">A291/가정!$B$39</f>
        <v>96.6666666666667</v>
      </c>
      <c r="M291" s="26" t="str">
        <f aca="false">IF(K291&lt;1,"미달",IF(K291&gt;4,"과잉","적정"))</f>
        <v>적정</v>
      </c>
    </row>
    <row r="292" customFormat="false" ht="15" hidden="false" customHeight="true" outlineLevel="0" collapsed="false">
      <c r="A292" s="23" t="n">
        <v>291</v>
      </c>
      <c r="B292" s="23" t="n">
        <f aca="false">ROUND(가정!$B$32*(A292+1)^가정!$B$33,0)</f>
        <v>174</v>
      </c>
      <c r="C292" s="47" t="n">
        <f aca="false">IF(B292&gt;=IFERROR(INDEX(가정!$B$42:$B$50,C291),1000000),C291+1,C291)</f>
        <v>6</v>
      </c>
      <c r="D292" s="25" t="n">
        <f aca="false">가정!$B$34^(C292-1)</f>
        <v>97.65625</v>
      </c>
      <c r="E292" s="25" t="n">
        <f aca="false">(B292/10)^가정!$B$36</f>
        <v>96.5781311475042</v>
      </c>
      <c r="F292" s="24" t="n">
        <f aca="false">IF(C292&gt;C291,(F291+E292)*가정!$B$35,F291+E292)</f>
        <v>11629.6733044899</v>
      </c>
      <c r="G292" s="25" t="n">
        <f aca="false">(1+F292*가정!$B$37)*D292</f>
        <v>22811.8619228318</v>
      </c>
      <c r="H292" s="25" t="n">
        <f aca="false">(1+F292*가정!$B$38)*D292^0.6</f>
        <v>2741.32968073981</v>
      </c>
      <c r="I292" s="48" t="n">
        <f aca="false">가정!$B$5*가정!$B$7*가정!$B$6^(B292-1)/가정!$B$18</f>
        <v>6630887.04564899</v>
      </c>
      <c r="J292" s="48" t="n">
        <f aca="false">(가정!$B$12+가정!$B$15*(LOG(가정!$B$9*가정!$B$7*H292*가정!$B$10^B292/(가정!$B$10-1)*(가정!$B$14-1)/가정!$B$13)/LOG(가정!$B$14)))*G292</f>
        <v>13195742.6022818</v>
      </c>
      <c r="K292" s="49" t="n">
        <f aca="false">IFERROR(J292/I292,0)</f>
        <v>1.99004183172453</v>
      </c>
      <c r="L292" s="25" t="n">
        <f aca="false">A292/가정!$B$39</f>
        <v>97</v>
      </c>
      <c r="M292" s="26" t="str">
        <f aca="false">IF(K292&lt;1,"미달",IF(K292&gt;4,"과잉","적정"))</f>
        <v>적정</v>
      </c>
    </row>
    <row r="293" customFormat="false" ht="15" hidden="false" customHeight="true" outlineLevel="0" collapsed="false">
      <c r="A293" s="23" t="n">
        <v>292</v>
      </c>
      <c r="B293" s="23" t="n">
        <f aca="false">ROUND(가정!$B$32*(A293+1)^가정!$B$33,0)</f>
        <v>174</v>
      </c>
      <c r="C293" s="47" t="n">
        <f aca="false">IF(B293&gt;=IFERROR(INDEX(가정!$B$42:$B$50,C292),1000000),C292+1,C292)</f>
        <v>6</v>
      </c>
      <c r="D293" s="25" t="n">
        <f aca="false">가정!$B$34^(C293-1)</f>
        <v>97.65625</v>
      </c>
      <c r="E293" s="25" t="n">
        <f aca="false">(B293/10)^가정!$B$36</f>
        <v>96.5781311475042</v>
      </c>
      <c r="F293" s="24" t="n">
        <f aca="false">IF(C293&gt;C292,(F292+E293)*가정!$B$35,F292+E293)</f>
        <v>11726.2514356374</v>
      </c>
      <c r="G293" s="25" t="n">
        <f aca="false">(1+F293*가정!$B$37)*D293</f>
        <v>23000.4910852293</v>
      </c>
      <c r="H293" s="25" t="n">
        <f aca="false">(1+F293*가정!$B$38)*D293^0.6</f>
        <v>2763.96518022751</v>
      </c>
      <c r="I293" s="48" t="n">
        <f aca="false">가정!$B$5*가정!$B$7*가정!$B$6^(B293-1)/가정!$B$18</f>
        <v>6630887.04564899</v>
      </c>
      <c r="J293" s="48" t="n">
        <f aca="false">(가정!$B$12+가정!$B$15*(LOG(가정!$B$9*가정!$B$7*H293*가정!$B$10^B293/(가정!$B$10-1)*(가정!$B$14-1)/가정!$B$13)/LOG(가정!$B$14)))*G293</f>
        <v>13309863.7717238</v>
      </c>
      <c r="K293" s="49" t="n">
        <f aca="false">IFERROR(J293/I293,0)</f>
        <v>2.00725237514902</v>
      </c>
      <c r="L293" s="25" t="n">
        <f aca="false">A293/가정!$B$39</f>
        <v>97.3333333333333</v>
      </c>
      <c r="M293" s="26" t="str">
        <f aca="false">IF(K293&lt;1,"미달",IF(K293&gt;4,"과잉","적정"))</f>
        <v>적정</v>
      </c>
    </row>
    <row r="294" customFormat="false" ht="15" hidden="false" customHeight="true" outlineLevel="0" collapsed="false">
      <c r="A294" s="23" t="n">
        <v>293</v>
      </c>
      <c r="B294" s="23" t="n">
        <f aca="false">ROUND(가정!$B$32*(A294+1)^가정!$B$33,0)</f>
        <v>174</v>
      </c>
      <c r="C294" s="47" t="n">
        <f aca="false">IF(B294&gt;=IFERROR(INDEX(가정!$B$42:$B$50,C293),1000000),C293+1,C293)</f>
        <v>6</v>
      </c>
      <c r="D294" s="25" t="n">
        <f aca="false">가정!$B$34^(C294-1)</f>
        <v>97.65625</v>
      </c>
      <c r="E294" s="25" t="n">
        <f aca="false">(B294/10)^가정!$B$36</f>
        <v>96.5781311475042</v>
      </c>
      <c r="F294" s="24" t="n">
        <f aca="false">IF(C294&gt;C293,(F293+E294)*가정!$B$35,F293+E294)</f>
        <v>11822.8295667849</v>
      </c>
      <c r="G294" s="25" t="n">
        <f aca="false">(1+F294*가정!$B$37)*D294</f>
        <v>23189.1202476267</v>
      </c>
      <c r="H294" s="25" t="n">
        <f aca="false">(1+F294*가정!$B$38)*D294^0.6</f>
        <v>2786.60067971521</v>
      </c>
      <c r="I294" s="48" t="n">
        <f aca="false">가정!$B$5*가정!$B$7*가정!$B$6^(B294-1)/가정!$B$18</f>
        <v>6630887.04564899</v>
      </c>
      <c r="J294" s="48" t="n">
        <f aca="false">(가정!$B$12+가정!$B$15*(LOG(가정!$B$9*가정!$B$7*H294*가정!$B$10^B294/(가정!$B$10-1)*(가정!$B$14-1)/가정!$B$13)/LOG(가정!$B$14)))*G294</f>
        <v>13424025.8923032</v>
      </c>
      <c r="K294" s="49" t="n">
        <f aca="false">IFERROR(J294/I294,0)</f>
        <v>2.02446909438937</v>
      </c>
      <c r="L294" s="25" t="n">
        <f aca="false">A294/가정!$B$39</f>
        <v>97.6666666666667</v>
      </c>
      <c r="M294" s="26" t="str">
        <f aca="false">IF(K294&lt;1,"미달",IF(K294&gt;4,"과잉","적정"))</f>
        <v>적정</v>
      </c>
    </row>
    <row r="295" customFormat="false" ht="15" hidden="false" customHeight="true" outlineLevel="0" collapsed="false">
      <c r="A295" s="23" t="n">
        <v>294</v>
      </c>
      <c r="B295" s="23" t="n">
        <f aca="false">ROUND(가정!$B$32*(A295+1)^가정!$B$33,0)</f>
        <v>174</v>
      </c>
      <c r="C295" s="47" t="n">
        <f aca="false">IF(B295&gt;=IFERROR(INDEX(가정!$B$42:$B$50,C294),1000000),C294+1,C294)</f>
        <v>6</v>
      </c>
      <c r="D295" s="25" t="n">
        <f aca="false">가정!$B$34^(C295-1)</f>
        <v>97.65625</v>
      </c>
      <c r="E295" s="25" t="n">
        <f aca="false">(B295/10)^가정!$B$36</f>
        <v>96.5781311475042</v>
      </c>
      <c r="F295" s="24" t="n">
        <f aca="false">IF(C295&gt;C294,(F294+E295)*가정!$B$35,F294+E295)</f>
        <v>11919.4076979324</v>
      </c>
      <c r="G295" s="25" t="n">
        <f aca="false">(1+F295*가정!$B$37)*D295</f>
        <v>23377.7494100242</v>
      </c>
      <c r="H295" s="25" t="n">
        <f aca="false">(1+F295*가정!$B$38)*D295^0.6</f>
        <v>2809.2361792029</v>
      </c>
      <c r="I295" s="48" t="n">
        <f aca="false">가정!$B$5*가정!$B$7*가정!$B$6^(B295-1)/가정!$B$18</f>
        <v>6630887.04564899</v>
      </c>
      <c r="J295" s="48" t="n">
        <f aca="false">(가정!$B$12+가정!$B$15*(LOG(가정!$B$9*가정!$B$7*H295*가정!$B$10^B295/(가정!$B$10-1)*(가정!$B$14-1)/가정!$B$13)/LOG(가정!$B$14)))*G295</f>
        <v>13538228.6309018</v>
      </c>
      <c r="K295" s="49" t="n">
        <f aca="false">IFERROR(J295/I295,0)</f>
        <v>2.04169193920823</v>
      </c>
      <c r="L295" s="25" t="n">
        <f aca="false">A295/가정!$B$39</f>
        <v>98</v>
      </c>
      <c r="M295" s="26" t="str">
        <f aca="false">IF(K295&lt;1,"미달",IF(K295&gt;4,"과잉","적정"))</f>
        <v>적정</v>
      </c>
    </row>
    <row r="296" customFormat="false" ht="15" hidden="false" customHeight="true" outlineLevel="0" collapsed="false">
      <c r="A296" s="23" t="n">
        <v>295</v>
      </c>
      <c r="B296" s="23" t="n">
        <f aca="false">ROUND(가정!$B$32*(A296+1)^가정!$B$33,0)</f>
        <v>174</v>
      </c>
      <c r="C296" s="47" t="n">
        <f aca="false">IF(B296&gt;=IFERROR(INDEX(가정!$B$42:$B$50,C295),1000000),C295+1,C295)</f>
        <v>6</v>
      </c>
      <c r="D296" s="25" t="n">
        <f aca="false">가정!$B$34^(C296-1)</f>
        <v>97.65625</v>
      </c>
      <c r="E296" s="25" t="n">
        <f aca="false">(B296/10)^가정!$B$36</f>
        <v>96.5781311475042</v>
      </c>
      <c r="F296" s="24" t="n">
        <f aca="false">IF(C296&gt;C295,(F295+E296)*가정!$B$35,F295+E296)</f>
        <v>12015.9858290799</v>
      </c>
      <c r="G296" s="25" t="n">
        <f aca="false">(1+F296*가정!$B$37)*D296</f>
        <v>23566.3785724217</v>
      </c>
      <c r="H296" s="25" t="n">
        <f aca="false">(1+F296*가정!$B$38)*D296^0.6</f>
        <v>2831.8716786906</v>
      </c>
      <c r="I296" s="48" t="n">
        <f aca="false">가정!$B$5*가정!$B$7*가정!$B$6^(B296-1)/가정!$B$18</f>
        <v>6630887.04564899</v>
      </c>
      <c r="J296" s="48" t="n">
        <f aca="false">(가정!$B$12+가정!$B$15*(LOG(가정!$B$9*가정!$B$7*H296*가정!$B$10^B296/(가정!$B$10-1)*(가정!$B$14-1)/가정!$B$13)/LOG(가정!$B$14)))*G296</f>
        <v>13652471.6597771</v>
      </c>
      <c r="K296" s="49" t="n">
        <f aca="false">IFERROR(J296/I296,0)</f>
        <v>2.05892086017895</v>
      </c>
      <c r="L296" s="25" t="n">
        <f aca="false">A296/가정!$B$39</f>
        <v>98.3333333333333</v>
      </c>
      <c r="M296" s="26" t="str">
        <f aca="false">IF(K296&lt;1,"미달",IF(K296&gt;4,"과잉","적정"))</f>
        <v>적정</v>
      </c>
    </row>
    <row r="297" customFormat="false" ht="15" hidden="false" customHeight="true" outlineLevel="0" collapsed="false">
      <c r="A297" s="23" t="n">
        <v>296</v>
      </c>
      <c r="B297" s="23" t="n">
        <f aca="false">ROUND(가정!$B$32*(A297+1)^가정!$B$33,0)</f>
        <v>174</v>
      </c>
      <c r="C297" s="47" t="n">
        <f aca="false">IF(B297&gt;=IFERROR(INDEX(가정!$B$42:$B$50,C296),1000000),C296+1,C296)</f>
        <v>6</v>
      </c>
      <c r="D297" s="25" t="n">
        <f aca="false">가정!$B$34^(C297-1)</f>
        <v>97.65625</v>
      </c>
      <c r="E297" s="25" t="n">
        <f aca="false">(B297/10)^가정!$B$36</f>
        <v>96.5781311475042</v>
      </c>
      <c r="F297" s="24" t="n">
        <f aca="false">IF(C297&gt;C296,(F296+E297)*가정!$B$35,F296+E297)</f>
        <v>12112.5639602274</v>
      </c>
      <c r="G297" s="25" t="n">
        <f aca="false">(1+F297*가정!$B$37)*D297</f>
        <v>23755.0077348191</v>
      </c>
      <c r="H297" s="25" t="n">
        <f aca="false">(1+F297*가정!$B$38)*D297^0.6</f>
        <v>2854.5071781783</v>
      </c>
      <c r="I297" s="48" t="n">
        <f aca="false">가정!$B$5*가정!$B$7*가정!$B$6^(B297-1)/가정!$B$18</f>
        <v>6630887.04564899</v>
      </c>
      <c r="J297" s="48" t="n">
        <f aca="false">(가정!$B$12+가정!$B$15*(LOG(가정!$B$9*가정!$B$7*H297*가정!$B$10^B297/(가정!$B$10-1)*(가정!$B$14-1)/가정!$B$13)/LOG(가정!$B$14)))*G297</f>
        <v>13766754.6564335</v>
      </c>
      <c r="K297" s="49" t="n">
        <f aca="false">IFERROR(J297/I297,0)</f>
        <v>2.07615580866618</v>
      </c>
      <c r="L297" s="25" t="n">
        <f aca="false">A297/가정!$B$39</f>
        <v>98.6666666666667</v>
      </c>
      <c r="M297" s="26" t="str">
        <f aca="false">IF(K297&lt;1,"미달",IF(K297&gt;4,"과잉","적정"))</f>
        <v>적정</v>
      </c>
    </row>
    <row r="298" customFormat="false" ht="15" hidden="false" customHeight="true" outlineLevel="0" collapsed="false">
      <c r="A298" s="23" t="n">
        <v>297</v>
      </c>
      <c r="B298" s="23" t="n">
        <f aca="false">ROUND(가정!$B$32*(A298+1)^가정!$B$33,0)</f>
        <v>175</v>
      </c>
      <c r="C298" s="47" t="n">
        <f aca="false">IF(B298&gt;=IFERROR(INDEX(가정!$B$42:$B$50,C297),1000000),C297+1,C297)</f>
        <v>6</v>
      </c>
      <c r="D298" s="25" t="n">
        <f aca="false">가정!$B$34^(C298-1)</f>
        <v>97.65625</v>
      </c>
      <c r="E298" s="25" t="n">
        <f aca="false">(B298/10)^가정!$B$36</f>
        <v>97.4677359091201</v>
      </c>
      <c r="F298" s="24" t="n">
        <f aca="false">IF(C298&gt;C297,(F297+E298)*가정!$B$35,F297+E298)</f>
        <v>12210.0316961365</v>
      </c>
      <c r="G298" s="25" t="n">
        <f aca="false">(1+F298*가정!$B$37)*D298</f>
        <v>23945.3744065166</v>
      </c>
      <c r="H298" s="25" t="n">
        <f aca="false">(1+F298*가정!$B$38)*D298^0.6</f>
        <v>2877.351178782</v>
      </c>
      <c r="I298" s="48" t="n">
        <f aca="false">가정!$B$5*가정!$B$7*가정!$B$6^(B298-1)/가정!$B$18</f>
        <v>7227666.8797574</v>
      </c>
      <c r="J298" s="48" t="n">
        <f aca="false">(가정!$B$12+가정!$B$15*(LOG(가정!$B$9*가정!$B$7*H298*가정!$B$10^B298/(가정!$B$10-1)*(가정!$B$14-1)/가정!$B$13)/LOG(가정!$B$14)))*G298</f>
        <v>13927972.7379945</v>
      </c>
      <c r="K298" s="49" t="n">
        <f aca="false">IFERROR(J298/I298,0)</f>
        <v>1.92703578757935</v>
      </c>
      <c r="L298" s="25" t="n">
        <f aca="false">A298/가정!$B$39</f>
        <v>99</v>
      </c>
      <c r="M298" s="26" t="str">
        <f aca="false">IF(K298&lt;1,"미달",IF(K298&gt;4,"과잉","적정"))</f>
        <v>적정</v>
      </c>
    </row>
    <row r="299" customFormat="false" ht="15" hidden="false" customHeight="true" outlineLevel="0" collapsed="false">
      <c r="A299" s="23" t="n">
        <v>298</v>
      </c>
      <c r="B299" s="23" t="n">
        <f aca="false">ROUND(가정!$B$32*(A299+1)^가정!$B$33,0)</f>
        <v>175</v>
      </c>
      <c r="C299" s="47" t="n">
        <f aca="false">IF(B299&gt;=IFERROR(INDEX(가정!$B$42:$B$50,C298),1000000),C298+1,C298)</f>
        <v>6</v>
      </c>
      <c r="D299" s="25" t="n">
        <f aca="false">가정!$B$34^(C299-1)</f>
        <v>97.65625</v>
      </c>
      <c r="E299" s="25" t="n">
        <f aca="false">(B299/10)^가정!$B$36</f>
        <v>97.4677359091201</v>
      </c>
      <c r="F299" s="24" t="n">
        <f aca="false">IF(C299&gt;C298,(F298+E299)*가정!$B$35,F298+E299)</f>
        <v>12307.4994320456</v>
      </c>
      <c r="G299" s="25" t="n">
        <f aca="false">(1+F299*가정!$B$37)*D299</f>
        <v>24135.7410782141</v>
      </c>
      <c r="H299" s="25" t="n">
        <f aca="false">(1+F299*가정!$B$38)*D299^0.6</f>
        <v>2900.1951793857</v>
      </c>
      <c r="I299" s="48" t="n">
        <f aca="false">가정!$B$5*가정!$B$7*가정!$B$6^(B299-1)/가정!$B$18</f>
        <v>7227666.8797574</v>
      </c>
      <c r="J299" s="48" t="n">
        <f aca="false">(가정!$B$12+가정!$B$15*(LOG(가정!$B$9*가정!$B$7*H299*가정!$B$10^B299/(가정!$B$10-1)*(가정!$B$14-1)/가정!$B$13)/LOG(가정!$B$14)))*G299</f>
        <v>14043753.1326665</v>
      </c>
      <c r="K299" s="49" t="n">
        <f aca="false">IFERROR(J299/I299,0)</f>
        <v>1.94305484277354</v>
      </c>
      <c r="L299" s="25" t="n">
        <f aca="false">A299/가정!$B$39</f>
        <v>99.3333333333333</v>
      </c>
      <c r="M299" s="26" t="str">
        <f aca="false">IF(K299&lt;1,"미달",IF(K299&gt;4,"과잉","적정"))</f>
        <v>적정</v>
      </c>
    </row>
    <row r="300" customFormat="false" ht="15" hidden="false" customHeight="true" outlineLevel="0" collapsed="false">
      <c r="A300" s="23" t="n">
        <v>299</v>
      </c>
      <c r="B300" s="23" t="n">
        <f aca="false">ROUND(가정!$B$32*(A300+1)^가정!$B$33,0)</f>
        <v>175</v>
      </c>
      <c r="C300" s="47" t="n">
        <f aca="false">IF(B300&gt;=IFERROR(INDEX(가정!$B$42:$B$50,C299),1000000),C299+1,C299)</f>
        <v>6</v>
      </c>
      <c r="D300" s="25" t="n">
        <f aca="false">가정!$B$34^(C300-1)</f>
        <v>97.65625</v>
      </c>
      <c r="E300" s="25" t="n">
        <f aca="false">(B300/10)^가정!$B$36</f>
        <v>97.4677359091201</v>
      </c>
      <c r="F300" s="24" t="n">
        <f aca="false">IF(C300&gt;C299,(F299+E300)*가정!$B$35,F299+E300)</f>
        <v>12404.9671679548</v>
      </c>
      <c r="G300" s="25" t="n">
        <f aca="false">(1+F300*가정!$B$37)*D300</f>
        <v>24326.1077499116</v>
      </c>
      <c r="H300" s="25" t="n">
        <f aca="false">(1+F300*가정!$B$38)*D300^0.6</f>
        <v>2923.03917998939</v>
      </c>
      <c r="I300" s="48" t="n">
        <f aca="false">가정!$B$5*가정!$B$7*가정!$B$6^(B300-1)/가정!$B$18</f>
        <v>7227666.8797574</v>
      </c>
      <c r="J300" s="48" t="n">
        <f aca="false">(가정!$B$12+가정!$B$15*(LOG(가정!$B$9*가정!$B$7*H300*가정!$B$10^B300/(가정!$B$10-1)*(가정!$B$14-1)/가정!$B$13)/LOG(가정!$B$14)))*G300</f>
        <v>14159573.2745179</v>
      </c>
      <c r="K300" s="49" t="n">
        <f aca="false">IFERROR(J300/I300,0)</f>
        <v>1.95907939727754</v>
      </c>
      <c r="L300" s="25" t="n">
        <f aca="false">A300/가정!$B$39</f>
        <v>99.6666666666667</v>
      </c>
      <c r="M300" s="26" t="str">
        <f aca="false">IF(K300&lt;1,"미달",IF(K300&gt;4,"과잉","적정"))</f>
        <v>적정</v>
      </c>
    </row>
    <row r="301" customFormat="false" ht="15" hidden="false" customHeight="true" outlineLevel="0" collapsed="false">
      <c r="A301" s="27" t="n">
        <v>300</v>
      </c>
      <c r="B301" s="27" t="n">
        <f aca="false">ROUND(가정!$B$32*(A301+1)^가정!$B$33,0)</f>
        <v>175</v>
      </c>
      <c r="C301" s="50" t="n">
        <f aca="false">IF(B301&gt;=IFERROR(INDEX(가정!$B$42:$B$50,C300),1000000),C300+1,C300)</f>
        <v>6</v>
      </c>
      <c r="D301" s="29" t="n">
        <f aca="false">가정!$B$34^(C301-1)</f>
        <v>97.65625</v>
      </c>
      <c r="E301" s="29" t="n">
        <f aca="false">(B301/10)^가정!$B$36</f>
        <v>97.4677359091201</v>
      </c>
      <c r="F301" s="28" t="n">
        <f aca="false">IF(C301&gt;C300,(F300+E301)*가정!$B$35,F300+E301)</f>
        <v>12502.4349038639</v>
      </c>
      <c r="G301" s="29" t="n">
        <f aca="false">(1+F301*가정!$B$37)*D301</f>
        <v>24516.4744216091</v>
      </c>
      <c r="H301" s="29" t="n">
        <f aca="false">(1+F301*가정!$B$38)*D301^0.6</f>
        <v>2945.8831805931</v>
      </c>
      <c r="I301" s="51" t="n">
        <f aca="false">가정!$B$5*가정!$B$7*가정!$B$6^(B301-1)/가정!$B$18</f>
        <v>7227666.8797574</v>
      </c>
      <c r="J301" s="51" t="n">
        <f aca="false">(가정!$B$12+가정!$B$15*(LOG(가정!$B$9*가정!$B$7*H301*가정!$B$10^B301/(가정!$B$10-1)*(가정!$B$14-1)/가정!$B$13)/LOG(가정!$B$14)))*G301</f>
        <v>14275432.8524975</v>
      </c>
      <c r="K301" s="52" t="n">
        <f aca="false">IFERROR(J301/I301,0)</f>
        <v>1.97510940805516</v>
      </c>
      <c r="L301" s="29" t="n">
        <f aca="false">A301/가정!$B$39</f>
        <v>100</v>
      </c>
      <c r="M301" s="30" t="str">
        <f aca="false">IF(K301&lt;1,"미달",IF(K301&gt;4,"과잉","적정"))</f>
        <v>적정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5"/>
  </cols>
  <sheetData>
    <row r="1" customFormat="false" ht="19.5" hidden="false" customHeight="true" outlineLevel="0" collapsed="false">
      <c r="A1" s="57" t="s">
        <v>160</v>
      </c>
    </row>
    <row r="2" customFormat="false" ht="15" hidden="false" customHeight="true" outlineLevel="0" collapsed="false">
      <c r="A2" s="3" t="s">
        <v>161</v>
      </c>
    </row>
    <row r="4" customFormat="false" ht="15" hidden="false" customHeight="true" outlineLevel="0" collapsed="false">
      <c r="A4" s="21" t="s">
        <v>162</v>
      </c>
      <c r="B4" s="21" t="s">
        <v>163</v>
      </c>
      <c r="C4" s="21" t="s">
        <v>138</v>
      </c>
      <c r="D4" s="21" t="s">
        <v>139</v>
      </c>
      <c r="E4" s="21" t="s">
        <v>143</v>
      </c>
      <c r="F4" s="21" t="s">
        <v>164</v>
      </c>
    </row>
    <row r="5" customFormat="false" ht="15" hidden="false" customHeight="true" outlineLevel="0" collapsed="false">
      <c r="A5" s="47" t="n">
        <v>1</v>
      </c>
      <c r="B5" s="47" t="n">
        <f aca="false">MIN(300,ROUND(A5*가정!$B$39,0))</f>
        <v>3</v>
      </c>
      <c r="C5" s="47" t="n">
        <f aca="false">INDEX(환생메타!$B$2:$B$301,B5)</f>
        <v>55</v>
      </c>
      <c r="D5" s="47" t="n">
        <f aca="false">INDEX(환생메타!$C$2:$C$301,B5)</f>
        <v>2</v>
      </c>
      <c r="E5" s="58" t="n">
        <f aca="false">INDEX(환생메타!$G$2:$G$301,B5)</f>
        <v>3.44968469953736</v>
      </c>
      <c r="F5" s="47" t="str">
        <f aca="false">""</f>
        <v/>
      </c>
    </row>
    <row r="6" customFormat="false" ht="15" hidden="false" customHeight="true" outlineLevel="0" collapsed="false">
      <c r="A6" s="47" t="n">
        <v>2</v>
      </c>
      <c r="B6" s="47" t="n">
        <f aca="false">MIN(300,ROUND(A6*가정!$B$39,0))</f>
        <v>6</v>
      </c>
      <c r="C6" s="47" t="n">
        <f aca="false">INDEX(환생메타!$B$2:$B$301,B6)</f>
        <v>64</v>
      </c>
      <c r="D6" s="47" t="n">
        <f aca="false">INDEX(환생메타!$C$2:$C$301,B6)</f>
        <v>2</v>
      </c>
      <c r="E6" s="58" t="n">
        <f aca="false">INDEX(환생메타!$G$2:$G$301,B6)</f>
        <v>6.15959577932906</v>
      </c>
      <c r="F6" s="47" t="n">
        <f aca="false">C6-C5</f>
        <v>9</v>
      </c>
    </row>
    <row r="7" customFormat="false" ht="15" hidden="false" customHeight="true" outlineLevel="0" collapsed="false">
      <c r="A7" s="47" t="n">
        <v>3</v>
      </c>
      <c r="B7" s="47" t="n">
        <f aca="false">MIN(300,ROUND(A7*가정!$B$39,0))</f>
        <v>9</v>
      </c>
      <c r="C7" s="47" t="n">
        <f aca="false">INDEX(환생메타!$B$2:$B$301,B7)</f>
        <v>70</v>
      </c>
      <c r="D7" s="47" t="n">
        <f aca="false">INDEX(환생메타!$C$2:$C$301,B7)</f>
        <v>2</v>
      </c>
      <c r="E7" s="58" t="n">
        <f aca="false">INDEX(환생메타!$G$2:$G$301,B7)</f>
        <v>9.38233917830932</v>
      </c>
      <c r="F7" s="47" t="n">
        <f aca="false">C7-C6</f>
        <v>6</v>
      </c>
    </row>
    <row r="8" customFormat="false" ht="15" hidden="false" customHeight="true" outlineLevel="0" collapsed="false">
      <c r="A8" s="47" t="n">
        <v>5</v>
      </c>
      <c r="B8" s="47" t="n">
        <f aca="false">MIN(300,ROUND(A8*가정!$B$39,0))</f>
        <v>15</v>
      </c>
      <c r="C8" s="47" t="n">
        <f aca="false">INDEX(환생메타!$B$2:$B$301,B8)</f>
        <v>79</v>
      </c>
      <c r="D8" s="47" t="n">
        <f aca="false">INDEX(환생메타!$C$2:$C$301,B8)</f>
        <v>2</v>
      </c>
      <c r="E8" s="58" t="n">
        <f aca="false">INDEX(환생메타!$G$2:$G$301,B8)</f>
        <v>17.0578645726337</v>
      </c>
      <c r="F8" s="47" t="n">
        <f aca="false">C8-C7</f>
        <v>9</v>
      </c>
    </row>
    <row r="9" customFormat="false" ht="15" hidden="false" customHeight="true" outlineLevel="0" collapsed="false">
      <c r="A9" s="47" t="n">
        <v>7</v>
      </c>
      <c r="B9" s="47" t="n">
        <f aca="false">MIN(300,ROUND(A9*가정!$B$39,0))</f>
        <v>21</v>
      </c>
      <c r="C9" s="47" t="n">
        <f aca="false">INDEX(환생메타!$B$2:$B$301,B9)</f>
        <v>87</v>
      </c>
      <c r="D9" s="47" t="n">
        <f aca="false">INDEX(환생메타!$C$2:$C$301,B9)</f>
        <v>3</v>
      </c>
      <c r="E9" s="58" t="n">
        <f aca="false">INDEX(환생메타!$G$2:$G$301,B9)</f>
        <v>31.2146893745207</v>
      </c>
      <c r="F9" s="47" t="n">
        <f aca="false">C9-C8</f>
        <v>8</v>
      </c>
    </row>
    <row r="10" customFormat="false" ht="15" hidden="false" customHeight="true" outlineLevel="0" collapsed="false">
      <c r="A10" s="47" t="n">
        <v>10</v>
      </c>
      <c r="B10" s="47" t="n">
        <f aca="false">MIN(300,ROUND(A10*가정!$B$39,0))</f>
        <v>30</v>
      </c>
      <c r="C10" s="47" t="n">
        <f aca="false">INDEX(환생메타!$B$2:$B$301,B10)</f>
        <v>95</v>
      </c>
      <c r="D10" s="47" t="n">
        <f aca="false">INDEX(환생메타!$C$2:$C$301,B10)</f>
        <v>3</v>
      </c>
      <c r="E10" s="58" t="n">
        <f aca="false">INDEX(환생메타!$G$2:$G$301,B10)</f>
        <v>70.0405560182537</v>
      </c>
      <c r="F10" s="47" t="n">
        <f aca="false">C10-C9</f>
        <v>8</v>
      </c>
    </row>
    <row r="11" customFormat="false" ht="15" hidden="false" customHeight="true" outlineLevel="0" collapsed="false">
      <c r="A11" s="47" t="n">
        <v>14</v>
      </c>
      <c r="B11" s="47" t="n">
        <f aca="false">MIN(300,ROUND(A11*가정!$B$39,0))</f>
        <v>42</v>
      </c>
      <c r="C11" s="47" t="n">
        <f aca="false">INDEX(환생메타!$B$2:$B$301,B11)</f>
        <v>104</v>
      </c>
      <c r="D11" s="47" t="n">
        <f aca="false">INDEX(환생메타!$C$2:$C$301,B11)</f>
        <v>4</v>
      </c>
      <c r="E11" s="58" t="n">
        <f aca="false">INDEX(환생메타!$G$2:$G$301,B11)</f>
        <v>127.412532920972</v>
      </c>
      <c r="F11" s="47" t="n">
        <f aca="false">C11-C10</f>
        <v>9</v>
      </c>
    </row>
    <row r="12" customFormat="false" ht="15" hidden="false" customHeight="true" outlineLevel="0" collapsed="false">
      <c r="A12" s="47" t="n">
        <v>21</v>
      </c>
      <c r="B12" s="47" t="n">
        <f aca="false">MIN(300,ROUND(A12*가정!$B$39,0))</f>
        <v>63</v>
      </c>
      <c r="C12" s="47" t="n">
        <f aca="false">INDEX(환생메타!$B$2:$B$301,B12)</f>
        <v>115</v>
      </c>
      <c r="D12" s="47" t="n">
        <f aca="false">INDEX(환생메타!$C$2:$C$301,B12)</f>
        <v>4</v>
      </c>
      <c r="E12" s="58" t="n">
        <f aca="false">INDEX(환생메타!$G$2:$G$301,B12)</f>
        <v>432.050813522872</v>
      </c>
      <c r="F12" s="47" t="n">
        <f aca="false">C12-C11</f>
        <v>11</v>
      </c>
    </row>
    <row r="13" customFormat="false" ht="15" hidden="false" customHeight="true" outlineLevel="0" collapsed="false">
      <c r="A13" s="47" t="n">
        <v>30</v>
      </c>
      <c r="B13" s="47" t="n">
        <f aca="false">MIN(300,ROUND(A13*가정!$B$39,0))</f>
        <v>90</v>
      </c>
      <c r="C13" s="47" t="n">
        <f aca="false">INDEX(환생메타!$B$2:$B$301,B13)</f>
        <v>127</v>
      </c>
      <c r="D13" s="47" t="n">
        <f aca="false">INDEX(환생메타!$C$2:$C$301,B13)</f>
        <v>5</v>
      </c>
      <c r="E13" s="58" t="n">
        <f aca="false">INDEX(환생메타!$G$2:$G$301,B13)</f>
        <v>596.615512041264</v>
      </c>
      <c r="F13" s="47" t="n">
        <f aca="false">C13-C12</f>
        <v>12</v>
      </c>
    </row>
    <row r="14" customFormat="false" ht="15" hidden="false" customHeight="true" outlineLevel="0" collapsed="false">
      <c r="A14" s="47" t="n">
        <v>45</v>
      </c>
      <c r="B14" s="47" t="n">
        <f aca="false">MIN(300,ROUND(A14*가정!$B$39,0))</f>
        <v>135</v>
      </c>
      <c r="C14" s="47" t="n">
        <f aca="false">INDEX(환생메타!$B$2:$B$301,B14)</f>
        <v>141</v>
      </c>
      <c r="D14" s="47" t="n">
        <f aca="false">INDEX(환생메타!$C$2:$C$301,B14)</f>
        <v>5</v>
      </c>
      <c r="E14" s="58" t="n">
        <f aca="false">INDEX(환생메타!$G$2:$G$301,B14)</f>
        <v>2847.97085388441</v>
      </c>
      <c r="F14" s="47" t="n">
        <f aca="false">C14-C13</f>
        <v>14</v>
      </c>
    </row>
    <row r="15" customFormat="false" ht="15" hidden="false" customHeight="true" outlineLevel="0" collapsed="false">
      <c r="A15" s="47" t="n">
        <v>60</v>
      </c>
      <c r="B15" s="47" t="n">
        <f aca="false">MIN(300,ROUND(A15*가정!$B$39,0))</f>
        <v>180</v>
      </c>
      <c r="C15" s="47" t="n">
        <f aca="false">INDEX(환생메타!$B$2:$B$301,B15)</f>
        <v>153</v>
      </c>
      <c r="D15" s="47" t="n">
        <f aca="false">INDEX(환생메타!$C$2:$C$301,B15)</f>
        <v>6</v>
      </c>
      <c r="E15" s="58" t="n">
        <f aca="false">INDEX(환생메타!$G$2:$G$301,B15)</f>
        <v>3792.10576787139</v>
      </c>
      <c r="F15" s="47" t="n">
        <f aca="false">C15-C14</f>
        <v>12</v>
      </c>
    </row>
    <row r="16" customFormat="false" ht="15" hidden="false" customHeight="true" outlineLevel="0" collapsed="false">
      <c r="A16" s="47" t="n">
        <v>75</v>
      </c>
      <c r="B16" s="47" t="n">
        <f aca="false">MIN(300,ROUND(A16*가정!$B$39,0))</f>
        <v>225</v>
      </c>
      <c r="C16" s="47" t="n">
        <f aca="false">INDEX(환생메타!$B$2:$B$301,B16)</f>
        <v>162</v>
      </c>
      <c r="D16" s="47" t="n">
        <f aca="false">INDEX(환생메타!$C$2:$C$301,B16)</f>
        <v>6</v>
      </c>
      <c r="E16" s="58" t="n">
        <f aca="false">INDEX(환생메타!$G$2:$G$301,B16)</f>
        <v>11034.7504717029</v>
      </c>
      <c r="F16" s="47" t="n">
        <f aca="false">C16-C15</f>
        <v>9</v>
      </c>
    </row>
    <row r="17" customFormat="false" ht="15" hidden="false" customHeight="true" outlineLevel="0" collapsed="false">
      <c r="A17" s="47" t="n">
        <v>90</v>
      </c>
      <c r="B17" s="47" t="n">
        <f aca="false">MIN(300,ROUND(A17*가정!$B$39,0))</f>
        <v>270</v>
      </c>
      <c r="C17" s="47" t="n">
        <f aca="false">INDEX(환생메타!$B$2:$B$301,B17)</f>
        <v>170</v>
      </c>
      <c r="D17" s="47" t="n">
        <f aca="false">INDEX(환생메타!$C$2:$C$301,B17)</f>
        <v>6</v>
      </c>
      <c r="E17" s="58" t="n">
        <f aca="false">INDEX(환생메타!$G$2:$G$301,B17)</f>
        <v>18926.6207403213</v>
      </c>
      <c r="F17" s="47" t="n">
        <f aca="false">C17-C16</f>
        <v>8</v>
      </c>
    </row>
    <row r="19" customFormat="false" ht="15" hidden="false" customHeight="true" outlineLevel="0" collapsed="false">
      <c r="A19" s="11" t="s">
        <v>165</v>
      </c>
    </row>
    <row r="20" customFormat="false" ht="15" hidden="false" customHeight="true" outlineLevel="0" collapsed="false">
      <c r="A20" s="12" t="s">
        <v>166</v>
      </c>
    </row>
    <row r="21" customFormat="false" ht="15" hidden="false" customHeight="true" outlineLevel="0" collapsed="false">
      <c r="A21" s="12" t="s">
        <v>167</v>
      </c>
    </row>
    <row r="22" customFormat="false" ht="15" hidden="false" customHeight="true" outlineLevel="0" collapsed="false">
      <c r="A22" s="12" t="s">
        <v>168</v>
      </c>
    </row>
    <row r="23" customFormat="false" ht="15" hidden="false" customHeight="true" outlineLevel="0" collapsed="false">
      <c r="A23" s="12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52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7" min="7" style="1" width="12"/>
  </cols>
  <sheetData>
    <row r="1" customFormat="false" ht="19.5" hidden="false" customHeight="true" outlineLevel="0" collapsed="false">
      <c r="A1" s="2" t="s">
        <v>170</v>
      </c>
    </row>
    <row r="2" customFormat="false" ht="15" hidden="false" customHeight="true" outlineLevel="0" collapsed="false">
      <c r="A2" s="17" t="s">
        <v>171</v>
      </c>
    </row>
    <row r="3" customFormat="false" ht="15" hidden="false" customHeight="true" outlineLevel="0" collapsed="false">
      <c r="A3" s="8" t="s">
        <v>172</v>
      </c>
    </row>
    <row r="5" customFormat="false" ht="15" hidden="false" customHeight="true" outlineLevel="0" collapsed="false">
      <c r="A5" s="4" t="s">
        <v>173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6" t="s">
        <v>174</v>
      </c>
      <c r="B6" s="7" t="n">
        <v>4</v>
      </c>
      <c r="C6" s="8" t="s">
        <v>175</v>
      </c>
    </row>
    <row r="7" customFormat="false" ht="15" hidden="false" customHeight="true" outlineLevel="0" collapsed="false">
      <c r="A7" s="6" t="s">
        <v>176</v>
      </c>
      <c r="B7" s="7" t="n">
        <v>12</v>
      </c>
      <c r="C7" s="8" t="s">
        <v>177</v>
      </c>
    </row>
    <row r="8" customFormat="false" ht="15" hidden="false" customHeight="true" outlineLevel="0" collapsed="false">
      <c r="A8" s="6" t="s">
        <v>178</v>
      </c>
      <c r="B8" s="15" t="n">
        <v>0.3</v>
      </c>
      <c r="C8" s="8" t="s">
        <v>179</v>
      </c>
    </row>
    <row r="9" customFormat="false" ht="15" hidden="false" customHeight="true" outlineLevel="0" collapsed="false">
      <c r="A9" s="6" t="s">
        <v>180</v>
      </c>
      <c r="B9" s="7" t="n">
        <v>2</v>
      </c>
      <c r="C9" s="8" t="s">
        <v>181</v>
      </c>
    </row>
    <row r="10" customFormat="false" ht="15" hidden="false" customHeight="true" outlineLevel="0" collapsed="false">
      <c r="A10" s="6" t="s">
        <v>182</v>
      </c>
      <c r="B10" s="10" t="n">
        <v>25</v>
      </c>
      <c r="C10" s="8" t="s">
        <v>183</v>
      </c>
    </row>
    <row r="11" customFormat="false" ht="15" hidden="false" customHeight="true" outlineLevel="0" collapsed="false">
      <c r="A11" s="6" t="s">
        <v>184</v>
      </c>
      <c r="B11" s="10" t="n">
        <v>90</v>
      </c>
      <c r="C11" s="8" t="s">
        <v>185</v>
      </c>
    </row>
    <row r="13" customFormat="false" ht="15" hidden="false" customHeight="true" outlineLevel="0" collapsed="false">
      <c r="A13" s="4" t="s">
        <v>186</v>
      </c>
      <c r="B13" s="5"/>
      <c r="C13" s="5"/>
      <c r="D13" s="5"/>
      <c r="E13" s="5"/>
      <c r="F13" s="5"/>
    </row>
    <row r="14" customFormat="false" ht="15" hidden="false" customHeight="true" outlineLevel="0" collapsed="false">
      <c r="A14" s="11" t="s">
        <v>138</v>
      </c>
      <c r="B14" s="59" t="n">
        <f aca="false">ROUND(가정!$B$32*(B11+1)^가정!$B$33,0)</f>
        <v>127</v>
      </c>
      <c r="C14" s="8"/>
    </row>
    <row r="15" customFormat="false" ht="15" hidden="false" customHeight="true" outlineLevel="0" collapsed="false">
      <c r="A15" s="11" t="s">
        <v>187</v>
      </c>
      <c r="B15" s="60" t="n">
        <f aca="false">가정!$B$9*가정!$B$7*(가정!$B$10^B14-1)/(가정!$B$10-1)</f>
        <v>2598957.23640201</v>
      </c>
      <c r="C15" s="8" t="s">
        <v>188</v>
      </c>
    </row>
    <row r="17" customFormat="false" ht="15" hidden="false" customHeight="true" outlineLevel="0" collapsed="false">
      <c r="A17" s="4" t="s">
        <v>189</v>
      </c>
      <c r="B17" s="5"/>
      <c r="C17" s="5"/>
      <c r="D17" s="5"/>
      <c r="E17" s="5"/>
      <c r="F17" s="5"/>
    </row>
    <row r="18" customFormat="false" ht="15" hidden="false" customHeight="true" outlineLevel="0" collapsed="false">
      <c r="A18" s="21" t="s">
        <v>190</v>
      </c>
      <c r="B18" s="21" t="s">
        <v>191</v>
      </c>
      <c r="C18" s="21" t="s">
        <v>192</v>
      </c>
      <c r="D18" s="21" t="s">
        <v>193</v>
      </c>
      <c r="E18" s="21" t="s">
        <v>194</v>
      </c>
      <c r="F18" s="21" t="s">
        <v>195</v>
      </c>
      <c r="G18" s="21" t="s">
        <v>196</v>
      </c>
    </row>
    <row r="19" customFormat="false" ht="15" hidden="false" customHeight="true" outlineLevel="0" collapsed="false">
      <c r="A19" s="61" t="n">
        <v>0.5</v>
      </c>
      <c r="B19" s="61" t="n">
        <f aca="false">MIN(A19,$B$7)</f>
        <v>0.5</v>
      </c>
      <c r="C19" s="62" t="n">
        <f aca="false">MIN(A19,$B$6)/$B$6*$B$8</f>
        <v>0.0375</v>
      </c>
      <c r="D19" s="47" t="n">
        <f aca="false">ROUND(LOG(C19*$B$15*(가정!$B$10-1)/(가정!$B$9*가정!$B$7)+1)/LOG(가정!$B$10),0)</f>
        <v>82</v>
      </c>
      <c r="E19" s="62" t="n">
        <f aca="false">MIN(C19*$B$9,0.8)</f>
        <v>0.075</v>
      </c>
      <c r="F19" s="47" t="n">
        <f aca="false">ROUND(LOG(E19*$B$15*(가정!$B$10-1)/(가정!$B$9*가정!$B$7)+1)/LOG(가정!$B$10),0)</f>
        <v>91</v>
      </c>
      <c r="G19" s="63" t="n">
        <f aca="false">B19*$B$10</f>
        <v>12.5</v>
      </c>
    </row>
    <row r="20" customFormat="false" ht="15" hidden="false" customHeight="true" outlineLevel="0" collapsed="false">
      <c r="A20" s="61" t="n">
        <v>1</v>
      </c>
      <c r="B20" s="61" t="n">
        <f aca="false">MIN(A20,$B$7)</f>
        <v>1</v>
      </c>
      <c r="C20" s="62" t="n">
        <f aca="false">MIN(A20,$B$6)/$B$6*$B$8</f>
        <v>0.075</v>
      </c>
      <c r="D20" s="47" t="n">
        <f aca="false">ROUND(LOG(C20*$B$15*(가정!$B$10-1)/(가정!$B$9*가정!$B$7)+1)/LOG(가정!$B$10),0)</f>
        <v>91</v>
      </c>
      <c r="E20" s="62" t="n">
        <f aca="false">MIN(C20*$B$9,0.8)</f>
        <v>0.15</v>
      </c>
      <c r="F20" s="47" t="n">
        <f aca="false">ROUND(LOG(E20*$B$15*(가정!$B$10-1)/(가정!$B$9*가정!$B$7)+1)/LOG(가정!$B$10),0)</f>
        <v>101</v>
      </c>
      <c r="G20" s="63" t="n">
        <f aca="false">B20*$B$10</f>
        <v>25</v>
      </c>
    </row>
    <row r="21" customFormat="false" ht="15" hidden="false" customHeight="true" outlineLevel="0" collapsed="false">
      <c r="A21" s="61" t="n">
        <v>2</v>
      </c>
      <c r="B21" s="61" t="n">
        <f aca="false">MIN(A21,$B$7)</f>
        <v>2</v>
      </c>
      <c r="C21" s="62" t="n">
        <f aca="false">MIN(A21,$B$6)/$B$6*$B$8</f>
        <v>0.15</v>
      </c>
      <c r="D21" s="47" t="n">
        <f aca="false">ROUND(LOG(C21*$B$15*(가정!$B$10-1)/(가정!$B$9*가정!$B$7)+1)/LOG(가정!$B$10),0)</f>
        <v>101</v>
      </c>
      <c r="E21" s="62" t="n">
        <f aca="false">MIN(C21*$B$9,0.8)</f>
        <v>0.3</v>
      </c>
      <c r="F21" s="47" t="n">
        <f aca="false">ROUND(LOG(E21*$B$15*(가정!$B$10-1)/(가정!$B$9*가정!$B$7)+1)/LOG(가정!$B$10),0)</f>
        <v>110</v>
      </c>
      <c r="G21" s="63" t="n">
        <f aca="false">B21*$B$10</f>
        <v>50</v>
      </c>
    </row>
    <row r="22" customFormat="false" ht="15" hidden="false" customHeight="true" outlineLevel="0" collapsed="false">
      <c r="A22" s="61" t="n">
        <v>3</v>
      </c>
      <c r="B22" s="61" t="n">
        <f aca="false">MIN(A22,$B$7)</f>
        <v>3</v>
      </c>
      <c r="C22" s="62" t="n">
        <f aca="false">MIN(A22,$B$6)/$B$6*$B$8</f>
        <v>0.225</v>
      </c>
      <c r="D22" s="47" t="n">
        <f aca="false">ROUND(LOG(C22*$B$15*(가정!$B$10-1)/(가정!$B$9*가정!$B$7)+1)/LOG(가정!$B$10),0)</f>
        <v>106</v>
      </c>
      <c r="E22" s="62" t="n">
        <f aca="false">MIN(C22*$B$9,0.8)</f>
        <v>0.45</v>
      </c>
      <c r="F22" s="47" t="n">
        <f aca="false">ROUND(LOG(E22*$B$15*(가정!$B$10-1)/(가정!$B$9*가정!$B$7)+1)/LOG(가정!$B$10),0)</f>
        <v>116</v>
      </c>
      <c r="G22" s="63" t="n">
        <f aca="false">B22*$B$10</f>
        <v>75</v>
      </c>
    </row>
    <row r="23" customFormat="false" ht="15" hidden="false" customHeight="true" outlineLevel="0" collapsed="false">
      <c r="A23" s="61" t="n">
        <v>4</v>
      </c>
      <c r="B23" s="61" t="n">
        <f aca="false">MIN(A23,$B$7)</f>
        <v>4</v>
      </c>
      <c r="C23" s="62" t="n">
        <f aca="false">MIN(A23,$B$6)/$B$6*$B$8</f>
        <v>0.3</v>
      </c>
      <c r="D23" s="47" t="n">
        <f aca="false">ROUND(LOG(C23*$B$15*(가정!$B$10-1)/(가정!$B$9*가정!$B$7)+1)/LOG(가정!$B$10),0)</f>
        <v>110</v>
      </c>
      <c r="E23" s="62" t="n">
        <f aca="false">MIN(C23*$B$9,0.8)</f>
        <v>0.6</v>
      </c>
      <c r="F23" s="47" t="n">
        <f aca="false">ROUND(LOG(E23*$B$15*(가정!$B$10-1)/(가정!$B$9*가정!$B$7)+1)/LOG(가정!$B$10),0)</f>
        <v>120</v>
      </c>
      <c r="G23" s="63" t="n">
        <f aca="false">B23*$B$10</f>
        <v>100</v>
      </c>
    </row>
    <row r="24" customFormat="false" ht="15" hidden="false" customHeight="true" outlineLevel="0" collapsed="false">
      <c r="A24" s="61" t="n">
        <v>6</v>
      </c>
      <c r="B24" s="61" t="n">
        <f aca="false">MIN(A24,$B$7)</f>
        <v>6</v>
      </c>
      <c r="C24" s="62" t="n">
        <f aca="false">MIN(A24,$B$6)/$B$6*$B$8</f>
        <v>0.3</v>
      </c>
      <c r="D24" s="47" t="n">
        <f aca="false">ROUND(LOG(C24*$B$15*(가정!$B$10-1)/(가정!$B$9*가정!$B$7)+1)/LOG(가정!$B$10),0)</f>
        <v>110</v>
      </c>
      <c r="E24" s="62" t="n">
        <f aca="false">MIN(C24*$B$9,0.8)</f>
        <v>0.6</v>
      </c>
      <c r="F24" s="47" t="n">
        <f aca="false">ROUND(LOG(E24*$B$15*(가정!$B$10-1)/(가정!$B$9*가정!$B$7)+1)/LOG(가정!$B$10),0)</f>
        <v>120</v>
      </c>
      <c r="G24" s="63" t="n">
        <f aca="false">B24*$B$10</f>
        <v>150</v>
      </c>
    </row>
    <row r="25" customFormat="false" ht="15" hidden="false" customHeight="true" outlineLevel="0" collapsed="false">
      <c r="A25" s="61" t="n">
        <v>8</v>
      </c>
      <c r="B25" s="61" t="n">
        <f aca="false">MIN(A25,$B$7)</f>
        <v>8</v>
      </c>
      <c r="C25" s="62" t="n">
        <f aca="false">MIN(A25,$B$6)/$B$6*$B$8</f>
        <v>0.3</v>
      </c>
      <c r="D25" s="47" t="n">
        <f aca="false">ROUND(LOG(C25*$B$15*(가정!$B$10-1)/(가정!$B$9*가정!$B$7)+1)/LOG(가정!$B$10),0)</f>
        <v>110</v>
      </c>
      <c r="E25" s="62" t="n">
        <f aca="false">MIN(C25*$B$9,0.8)</f>
        <v>0.6</v>
      </c>
      <c r="F25" s="47" t="n">
        <f aca="false">ROUND(LOG(E25*$B$15*(가정!$B$10-1)/(가정!$B$9*가정!$B$7)+1)/LOG(가정!$B$10),0)</f>
        <v>120</v>
      </c>
      <c r="G25" s="63" t="n">
        <f aca="false">B25*$B$10</f>
        <v>200</v>
      </c>
    </row>
    <row r="26" customFormat="false" ht="15" hidden="false" customHeight="true" outlineLevel="0" collapsed="false">
      <c r="A26" s="61" t="n">
        <v>10</v>
      </c>
      <c r="B26" s="61" t="n">
        <f aca="false">MIN(A26,$B$7)</f>
        <v>10</v>
      </c>
      <c r="C26" s="62" t="n">
        <f aca="false">MIN(A26,$B$6)/$B$6*$B$8</f>
        <v>0.3</v>
      </c>
      <c r="D26" s="47" t="n">
        <f aca="false">ROUND(LOG(C26*$B$15*(가정!$B$10-1)/(가정!$B$9*가정!$B$7)+1)/LOG(가정!$B$10),0)</f>
        <v>110</v>
      </c>
      <c r="E26" s="62" t="n">
        <f aca="false">MIN(C26*$B$9,0.8)</f>
        <v>0.6</v>
      </c>
      <c r="F26" s="47" t="n">
        <f aca="false">ROUND(LOG(E26*$B$15*(가정!$B$10-1)/(가정!$B$9*가정!$B$7)+1)/LOG(가정!$B$10),0)</f>
        <v>120</v>
      </c>
      <c r="G26" s="63" t="n">
        <f aca="false">B26*$B$10</f>
        <v>250</v>
      </c>
    </row>
    <row r="27" customFormat="false" ht="15" hidden="false" customHeight="true" outlineLevel="0" collapsed="false">
      <c r="A27" s="61" t="n">
        <v>12</v>
      </c>
      <c r="B27" s="61" t="n">
        <f aca="false">MIN(A27,$B$7)</f>
        <v>12</v>
      </c>
      <c r="C27" s="62" t="n">
        <f aca="false">MIN(A27,$B$6)/$B$6*$B$8</f>
        <v>0.3</v>
      </c>
      <c r="D27" s="47" t="n">
        <f aca="false">ROUND(LOG(C27*$B$15*(가정!$B$10-1)/(가정!$B$9*가정!$B$7)+1)/LOG(가정!$B$10),0)</f>
        <v>110</v>
      </c>
      <c r="E27" s="62" t="n">
        <f aca="false">MIN(C27*$B$9,0.8)</f>
        <v>0.6</v>
      </c>
      <c r="F27" s="47" t="n">
        <f aca="false">ROUND(LOG(E27*$B$15*(가정!$B$10-1)/(가정!$B$9*가정!$B$7)+1)/LOG(가정!$B$10),0)</f>
        <v>120</v>
      </c>
      <c r="G27" s="63" t="n">
        <f aca="false">B27*$B$10</f>
        <v>300</v>
      </c>
    </row>
    <row r="28" customFormat="false" ht="15" hidden="false" customHeight="true" outlineLevel="0" collapsed="false">
      <c r="A28" s="61" t="n">
        <v>16</v>
      </c>
      <c r="B28" s="61" t="n">
        <f aca="false">MIN(A28,$B$7)</f>
        <v>12</v>
      </c>
      <c r="C28" s="62" t="n">
        <f aca="false">MIN(A28,$B$6)/$B$6*$B$8</f>
        <v>0.3</v>
      </c>
      <c r="D28" s="47" t="n">
        <f aca="false">ROUND(LOG(C28*$B$15*(가정!$B$10-1)/(가정!$B$9*가정!$B$7)+1)/LOG(가정!$B$10),0)</f>
        <v>110</v>
      </c>
      <c r="E28" s="62" t="n">
        <f aca="false">MIN(C28*$B$9,0.8)</f>
        <v>0.6</v>
      </c>
      <c r="F28" s="47" t="n">
        <f aca="false">ROUND(LOG(E28*$B$15*(가정!$B$10-1)/(가정!$B$9*가정!$B$7)+1)/LOG(가정!$B$10),0)</f>
        <v>120</v>
      </c>
      <c r="G28" s="63" t="n">
        <f aca="false">B28*$B$10</f>
        <v>300</v>
      </c>
    </row>
    <row r="29" customFormat="false" ht="15" hidden="false" customHeight="true" outlineLevel="0" collapsed="false">
      <c r="A29" s="61" t="n">
        <v>24</v>
      </c>
      <c r="B29" s="61" t="n">
        <f aca="false">MIN(A29,$B$7)</f>
        <v>12</v>
      </c>
      <c r="C29" s="62" t="n">
        <f aca="false">MIN(A29,$B$6)/$B$6*$B$8</f>
        <v>0.3</v>
      </c>
      <c r="D29" s="47" t="n">
        <f aca="false">ROUND(LOG(C29*$B$15*(가정!$B$10-1)/(가정!$B$9*가정!$B$7)+1)/LOG(가정!$B$10),0)</f>
        <v>110</v>
      </c>
      <c r="E29" s="62" t="n">
        <f aca="false">MIN(C29*$B$9,0.8)</f>
        <v>0.6</v>
      </c>
      <c r="F29" s="47" t="n">
        <f aca="false">ROUND(LOG(E29*$B$15*(가정!$B$10-1)/(가정!$B$9*가정!$B$7)+1)/LOG(가정!$B$10),0)</f>
        <v>120</v>
      </c>
      <c r="G29" s="63" t="n">
        <f aca="false">B29*$B$10</f>
        <v>300</v>
      </c>
    </row>
    <row r="32" customFormat="false" ht="15" hidden="false" customHeight="true" outlineLevel="0" collapsed="false">
      <c r="A32" s="4" t="s">
        <v>197</v>
      </c>
      <c r="B32" s="5"/>
      <c r="C32" s="5"/>
      <c r="D32" s="5"/>
      <c r="E32" s="5"/>
      <c r="F32" s="5"/>
    </row>
    <row r="33" customFormat="false" ht="15" hidden="false" customHeight="true" outlineLevel="0" collapsed="false">
      <c r="A33" s="11" t="s">
        <v>198</v>
      </c>
      <c r="B33" s="64" t="n">
        <f aca="false">24/B6</f>
        <v>6</v>
      </c>
      <c r="C33" s="8" t="s">
        <v>199</v>
      </c>
    </row>
    <row r="34" customFormat="false" ht="15" hidden="false" customHeight="true" outlineLevel="0" collapsed="false">
      <c r="A34" s="6" t="s">
        <v>200</v>
      </c>
      <c r="B34" s="15" t="n">
        <v>0.6</v>
      </c>
      <c r="C34" s="8" t="s">
        <v>201</v>
      </c>
    </row>
    <row r="35" customFormat="false" ht="15" hidden="false" customHeight="true" outlineLevel="0" collapsed="false">
      <c r="A35" s="11" t="s">
        <v>202</v>
      </c>
      <c r="B35" s="34" t="n">
        <f aca="false">B33*B34</f>
        <v>3.6</v>
      </c>
      <c r="C35" s="8" t="s">
        <v>203</v>
      </c>
    </row>
    <row r="36" customFormat="false" ht="15" hidden="false" customHeight="true" outlineLevel="0" collapsed="false">
      <c r="A36" s="11" t="s">
        <v>204</v>
      </c>
      <c r="B36" s="39" t="n">
        <f aca="false">IFERROR(B35/(수익모델!B5*수익모델!B6),0)</f>
        <v>0.5</v>
      </c>
      <c r="C36" s="14" t="s">
        <v>205</v>
      </c>
    </row>
    <row r="38" customFormat="false" ht="15" hidden="false" customHeight="true" outlineLevel="0" collapsed="false">
      <c r="A38" s="4" t="s">
        <v>206</v>
      </c>
      <c r="B38" s="5"/>
      <c r="C38" s="5"/>
      <c r="D38" s="5"/>
      <c r="E38" s="5"/>
      <c r="F38" s="5"/>
    </row>
    <row r="39" customFormat="false" ht="15" hidden="false" customHeight="true" outlineLevel="0" collapsed="false">
      <c r="A39" s="65" t="s">
        <v>207</v>
      </c>
    </row>
    <row r="40" customFormat="false" ht="15" hidden="false" customHeight="true" outlineLevel="0" collapsed="false">
      <c r="A40" s="65" t="s">
        <v>208</v>
      </c>
    </row>
    <row r="41" customFormat="false" ht="15" hidden="false" customHeight="true" outlineLevel="0" collapsed="false">
      <c r="A41" s="65" t="s">
        <v>209</v>
      </c>
    </row>
    <row r="42" customFormat="false" ht="15" hidden="false" customHeight="true" outlineLevel="0" collapsed="false">
      <c r="A42" s="65" t="s">
        <v>210</v>
      </c>
    </row>
    <row r="43" customFormat="false" ht="15" hidden="false" customHeight="true" outlineLevel="0" collapsed="false">
      <c r="A43" s="65" t="s">
        <v>211</v>
      </c>
    </row>
    <row r="45" customFormat="false" ht="15" hidden="false" customHeight="true" outlineLevel="0" collapsed="false">
      <c r="A45" s="17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2026-08-17T10:22:56Z</dcterms:created>
  <dc:creator>openpyxl</dc:creator>
  <dc:description/>
  <dc:language>en-US</dc:language>
  <cp:lastModifiedBy/>
  <dcterms:modified xsi:type="dcterms:W3CDTF">2026-08-18T01:49:20Z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